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94afc9cd9e40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da61b9c4a6b4dcc"/>
    <x:sheet xmlns:r="http://schemas.openxmlformats.org/officeDocument/2006/relationships" name="Fault Register" sheetId="2" r:id="R478bf1f636bc4cc7"/>
    <x:sheet xmlns:r="http://schemas.openxmlformats.org/officeDocument/2006/relationships" name="Lists &amp; Setup" sheetId="3" r:id="R0c993c354ea04893"/>
  </x:sheets>
</x:workbook>
</file>

<file path=xl/comments1.xml><?xml version="1.0" encoding="utf-8"?>
<x:comments xmlns:x="http://schemas.openxmlformats.org/spreadsheetml/2006/main">
  <x:authors>
    <x:author>tc={98403B1C-D1A9-4638-E628-832393F62372}</x:author>
    <x:author>tc={D97437B0-E744-F9A1-96CB-24DF1AEDC6A6}</x:author>
  </x:authors>
  <x:commentList>
    <x:comment ref="M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Downtime formula: (Resolved Date + Resolved Time − Reported Date − Reported Time) × 24. It stays blank until resolution details are complete.</x:t>
        </x:r>
      </x:text>
    </x:comment>
    <x:comment ref="N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Ticket Status is calculated automatically: Closed when both resolved date and time are present; otherwise Not Closed.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-mm-yyyy"/>
    <x:numFmt numFmtId="201" formatCode="hh:mm"/>
    <x:numFmt numFmtId="202" formatCode="0.00"/>
    <x:numFmt numFmtId="203" formatCode="0"/>
    <x:numFmt numFmtId="204" formatCode="[h]:mm:ss"/>
  </x:numFmts>
  <x:fonts count="2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F5F6C"/>
      <x:name val="Carlito"/>
    </x:font>
    <x:font>
      <x:b/>
      <x:sz val="11"/>
      <x:color rgb="FFFFFFFF"/>
      <x:name val="Carlito"/>
    </x:font>
    <x:font>
      <x:sz val="11"/>
      <x:color rgb="FF2563EB"/>
      <x:name val="Carlito"/>
    </x:font>
    <x:font>
      <x:sz val="11"/>
      <x:color rgb="FF667085"/>
      <x:name val="Carlito"/>
    </x:font>
    <x:font>
      <x:b/>
      <x:sz val="17"/>
      <x:color rgb="FFFFFFFF"/>
      <x:name val="Carlito"/>
    </x:font>
    <x:font>
      <x:b/>
      <x:sz val="10"/>
      <x:color rgb="FFFFFFFF"/>
      <x:name val="Carlito"/>
    </x:font>
    <x:font>
      <x:sz val="11"/>
      <x:color rgb="FF17324D"/>
      <x:name val="Carlito"/>
    </x:font>
    <x:font>
      <x:b/>
      <x:sz val="11"/>
      <x:color rgb="FF0F5F6C"/>
      <x:name val="Carlito"/>
    </x:font>
    <x:font>
      <x:b/>
      <x:sz val="18"/>
      <x:color rgb="FFFFFFFF"/>
      <x:name val="Carlito"/>
    </x:font>
    <x:font>
      <x:b/>
      <x:sz val="9"/>
      <x:color rgb="FF667085"/>
      <x:name val="Carlito"/>
    </x:font>
    <x:font>
      <x:b/>
      <x:sz val="20"/>
      <x:color rgb="FF17324D"/>
      <x:name val="Carlito"/>
    </x:font>
    <x:font>
      <x:b/>
      <x:sz val="20"/>
      <x:color rgb="FFC23B3B"/>
      <x:name val="Carlito"/>
    </x:font>
    <x:font>
      <x:b/>
      <x:sz val="20"/>
      <x:color rgb="FF228B5A"/>
      <x:name val="Carlito"/>
    </x:font>
    <x:font>
      <x:b/>
      <x:sz val="20"/>
      <x:color rgb="FFB7791F"/>
      <x:name val="Carlito"/>
    </x:font>
    <x:font>
      <x:b/>
      <x:sz val="11"/>
      <x:name val="Carlito"/>
    </x:font>
    <x:font>
      <x:sz val="11"/>
      <x:name val="Aptos"/>
    </x:font>
    <x:font>
      <x:b/>
      <x:sz val="9"/>
      <x:color rgb="FF667085"/>
      <x:name val="Aptos"/>
    </x:font>
    <x:font>
      <x:b/>
      <x:sz val="20"/>
      <x:color rgb="FF17324D"/>
      <x:name val="Aptos"/>
    </x:font>
    <x:font>
      <x:b/>
      <x:sz val="20"/>
      <x:color rgb="FFC23B3B"/>
      <x:name val="Aptos"/>
    </x:font>
    <x:font>
      <x:b/>
      <x:sz val="20"/>
      <x:color rgb="FF228B5A"/>
      <x:name val="Aptos"/>
    </x:font>
    <x:font>
      <x:b/>
      <x:sz val="20"/>
      <x:color rgb="FFB7791F"/>
      <x:name val="Aptos"/>
    </x:font>
    <x:font>
      <x:b/>
      <x:sz val="11"/>
      <x:color rgb="FFFFFFFF"/>
      <x:name val="Aptos"/>
    </x:font>
    <x:font>
      <x:b/>
      <x:sz val="11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8"/>
      </x:patternFill>
    </x:fill>
    <x:fill>
      <x:patternFill patternType="solid">
        <x:fgColor rgb="FF167D8D"/>
      </x:patternFill>
    </x:fill>
    <x:fill>
      <x:patternFill patternType="solid">
        <x:fgColor rgb="FFF4F6F8"/>
      </x:patternFill>
    </x:fill>
    <x:fill>
      <x:patternFill patternType="solid">
        <x:fgColor rgb="FFE8F5F6"/>
      </x:patternFill>
    </x:fill>
    <x:fill>
      <x:patternFill patternType="solid">
        <x:fgColor rgb="FFFDECEC"/>
      </x:patternFill>
    </x:fill>
    <x:fill>
      <x:patternFill patternType="solid">
        <x:fgColor rgb="FFEAF6EE"/>
      </x:patternFill>
    </x:fill>
    <x:fill>
      <x:patternFill patternType="solid">
        <x:fgColor rgb="FFFFF4D6"/>
      </x:patternFill>
    </x:fill>
    <x:fill>
      <x:patternFill patternType="solid">
        <x:fgColor rgb="FFFFFFFF"/>
      </x:patternFill>
    </x:fill>
  </x:fills>
  <x:borders count="16">
    <x:border/>
    <x:border>
      <x:left style="thin">
        <x:color rgb="FF0F5F6C"/>
      </x:left>
      <x:top style="thin">
        <x:color rgb="FF0F5F6C"/>
      </x:top>
      <x:bottom style="thin">
        <x:color rgb="FF0F5F6C"/>
      </x:bottom>
    </x:border>
    <x:border>
      <x:top style="thin">
        <x:color rgb="FF0F5F6C"/>
      </x:top>
      <x:bottom style="thin">
        <x:color rgb="FF0F5F6C"/>
      </x:bottom>
    </x:border>
    <x:border>
      <x:right style="thin">
        <x:color rgb="FF0F5F6C"/>
      </x:right>
      <x:top style="thin">
        <x:color rgb="FF0F5F6C"/>
      </x:top>
      <x:bottom style="thin">
        <x:color rgb="FF0F5F6C"/>
      </x:bottom>
    </x:border>
    <x:border>
      <x:bottom style="thin">
        <x:color rgb="FFD6DEE6"/>
      </x:bottom>
    </x:border>
    <x:border>
      <x:top style="thin">
        <x:color rgb="FFD6DEE6"/>
      </x:top>
      <x:bottom style="thin">
        <x:color rgb="FFD6DEE6"/>
      </x:bottom>
    </x:border>
    <x:border>
      <x:right style="thin">
        <x:color rgb="FF496176"/>
      </x:right>
      <x:bottom style="medium">
        <x:color rgb="FF167D8D"/>
      </x:bottom>
    </x:border>
    <x:border>
      <x:left style="thin">
        <x:color rgb="FF496176"/>
      </x:left>
      <x:right style="thin">
        <x:color rgb="FF496176"/>
      </x:right>
      <x:bottom style="medium">
        <x:color rgb="FF167D8D"/>
      </x:bottom>
    </x:border>
    <x:border>
      <x:left style="thin">
        <x:color rgb="FF496176"/>
      </x:left>
      <x:bottom style="medium">
        <x:color rgb="FF167D8D"/>
      </x:bottom>
    </x:border>
    <x:border>
      <x:left style="thin">
        <x:color rgb="FFD6DEE6"/>
      </x:left>
      <x:top style="thin">
        <x:color rgb="FFD6DEE6"/>
      </x:top>
    </x:border>
    <x:border>
      <x:top style="thin">
        <x:color rgb="FFD6DEE6"/>
      </x:top>
    </x:border>
    <x:border>
      <x:right style="thin">
        <x:color rgb="FFD6DEE6"/>
      </x:right>
      <x:top style="thin">
        <x:color rgb="FFD6DEE6"/>
      </x:top>
    </x:border>
    <x:border>
      <x:left style="thin">
        <x:color rgb="FFD6DEE6"/>
      </x:left>
    </x:border>
    <x:border>
      <x:right style="thin">
        <x:color rgb="FFD6DEE6"/>
      </x:right>
    </x:border>
    <x:border>
      <x:left style="thin">
        <x:color rgb="FFD6DEE6"/>
      </x:left>
      <x:bottom style="thin">
        <x:color rgb="FFD6DEE6"/>
      </x:bottom>
    </x:border>
    <x:border>
      <x:right style="thin">
        <x:color rgb="FFD6DEE6"/>
      </x:right>
      <x:bottom style="thin">
        <x:color rgb="FFD6DEE6"/>
      </x:bottom>
    </x:border>
  </x:borders>
  <x:cellStyleXfs count="1">
    <x:xf numFmtId="0" fontId="0" fillId="0" borderId="0"/>
  </x:cellStyleXfs>
  <x:cellXfs count="3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4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/>
    <x:xf numFmtId="0" fontId="7" fillId="2" borderId="6" xfId="0" applyNumberFormat="1" applyFont="1" applyFill="1" applyBorder="1"/>
    <x:xf numFmtId="0" fontId="7" fillId="2" borderId="7" xfId="0" applyNumberFormat="1" applyFont="1" applyFill="1" applyBorder="1"/>
    <x:xf numFmtId="0" fontId="7" fillId="2" borderId="8" xfId="0" applyNumberFormat="1" applyFont="1" applyFill="1" applyBorder="1"/>
    <x:xf numFmtId="0" fontId="7" fillId="2" borderId="6" xfId="0" applyNumberFormat="1" applyFont="1" applyFill="1" applyBorder="1" applyAlignment="1">
      <x:alignment wrapText="1"/>
    </x:xf>
    <x:xf numFmtId="0" fontId="7" fillId="2" borderId="7" xfId="0" applyNumberFormat="1" applyFont="1" applyFill="1" applyBorder="1" applyAlignment="1">
      <x:alignment wrapText="1"/>
    </x:xf>
    <x:xf numFmtId="0" fontId="7" fillId="2" borderId="8" xfId="0" applyNumberFormat="1" applyFont="1" applyFill="1" applyBorder="1" applyAlignment="1">
      <x:alignment wrapText="1"/>
    </x:xf>
    <x:xf numFmtId="0" fontId="7" fillId="2" borderId="6" xfId="0" applyNumberFormat="1" applyFont="1" applyFill="1" applyBorder="1" applyAlignment="1">
      <x:alignment horizontal="center" wrapText="1"/>
    </x:xf>
    <x:xf numFmtId="0" fontId="7" fillId="2" borderId="7" xfId="0" applyNumberFormat="1" applyFont="1" applyFill="1" applyBorder="1" applyAlignment="1">
      <x:alignment horizontal="center" wrapText="1"/>
    </x:xf>
    <x:xf numFmtId="0" fontId="7" fillId="2" borderId="8" xfId="0" applyNumberFormat="1" applyFont="1" applyFill="1" applyBorder="1" applyAlignment="1">
      <x:alignment horizontal="center" wrapText="1"/>
    </x:xf>
    <x:xf numFmtId="0" fontId="7" fillId="2" borderId="6" xfId="0" applyNumberFormat="1" applyFont="1" applyFill="1" applyBorder="1" applyAlignment="1">
      <x:alignment horizontal="center" vertical="center" wrapText="1"/>
    </x:xf>
    <x:xf numFmtId="0" fontId="7" fillId="2" borderId="7" xfId="0" applyNumberFormat="1" applyFont="1" applyFill="1" applyBorder="1" applyAlignment="1">
      <x:alignment horizontal="center" vertical="center" wrapText="1"/>
    </x:xf>
    <x:xf numFmtId="0" fontId="7" fillId="2" borderId="8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5" fillId="5" borderId="4" xfId="0" applyNumberFormat="1" applyFont="1" applyFill="1" applyBorder="1" applyAlignment="1">
      <x:alignment horizontal="center"/>
    </x:xf>
    <x:xf numFmtId="0" fontId="4" fillId="0" borderId="4" xfId="0" applyNumberFormat="1" applyFont="1" applyFill="1" applyBorder="1" applyAlignment="1">
      <x:alignment vertical="center"/>
    </x:xf>
    <x:xf numFmtId="0" fontId="8" fillId="5" borderId="4" xfId="0" applyNumberFormat="1" applyFont="1" applyFill="1" applyBorder="1" applyAlignment="1">
      <x:alignment horizontal="right"/>
    </x:xf>
    <x:xf numFmtId="0" fontId="9" fillId="6" borderId="4" xfId="0" applyNumberFormat="1" applyFont="1" applyFill="1" applyBorder="1" applyAlignment="1">
      <x:alignment horizontal="center"/>
    </x:xf>
    <x:xf numFmtId="0" fontId="5" fillId="5" borderId="5" xfId="0" applyNumberFormat="1" applyFont="1" applyFill="1" applyBorder="1" applyAlignment="1">
      <x:alignment horizontal="center"/>
    </x:xf>
    <x:xf numFmtId="0" fontId="4" fillId="0" borderId="5" xfId="0" applyNumberFormat="1" applyFont="1" applyFill="1" applyBorder="1" applyAlignment="1">
      <x:alignment vertical="center"/>
    </x:xf>
    <x:xf numFmtId="0" fontId="8" fillId="5" borderId="5" xfId="0" applyNumberFormat="1" applyFont="1" applyFill="1" applyBorder="1" applyAlignment="1">
      <x:alignment horizontal="right"/>
    </x:xf>
    <x:xf numFmtId="0" fontId="9" fillId="6" borderId="5" xfId="0" applyNumberFormat="1" applyFont="1" applyFill="1" applyBorder="1" applyAlignment="1">
      <x:alignment horizont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2" fontId="8" fillId="5" borderId="4" xfId="0" applyNumberFormat="1" applyFont="1" applyFill="1" applyBorder="1" applyAlignment="1">
      <x:alignment horizontal="right"/>
    </x:xf>
    <x:xf numFmtId="202" fontId="8" fillId="5" borderId="5" xfId="0" applyNumberFormat="1" applyFont="1" applyFill="1" applyBorder="1" applyAlignment="1">
      <x:alignment horizontal="right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/>
    <x:xf numFmtId="0" fontId="11" fillId="3" borderId="9" xfId="0" applyNumberFormat="1" applyFont="1" applyFill="1" applyBorder="1"/>
    <x:xf numFmtId="0" fontId="11" fillId="3" borderId="10" xfId="0" applyNumberFormat="1" applyFont="1" applyFill="1" applyBorder="1"/>
    <x:xf numFmtId="0" fontId="11" fillId="3" borderId="11" xfId="0" applyNumberFormat="1" applyFont="1" applyFill="1" applyBorder="1"/>
    <x:xf numFmtId="0" fontId="11" fillId="3" borderId="9" xfId="0" applyNumberFormat="1" applyFont="1" applyFill="1" applyBorder="1" applyAlignment="1">
      <x:alignment horizontal="center"/>
    </x:xf>
    <x:xf numFmtId="0" fontId="11" fillId="3" borderId="10" xfId="0" applyNumberFormat="1" applyFont="1" applyFill="1" applyBorder="1" applyAlignment="1">
      <x:alignment horizontal="center"/>
    </x:xf>
    <x:xf numFmtId="0" fontId="11" fillId="3" borderId="11" xfId="0" applyNumberFormat="1" applyFont="1" applyFill="1" applyBorder="1" applyAlignment="1">
      <x:alignment horizontal="center"/>
    </x:xf>
    <x:xf numFmtId="0" fontId="11" fillId="3" borderId="9" xfId="0" applyNumberFormat="1" applyFont="1" applyFill="1" applyBorder="1" applyAlignment="1">
      <x:alignment horizontal="center" vertical="center"/>
    </x:xf>
    <x:xf numFmtId="0" fontId="11" fillId="3" borderId="10" xfId="0" applyNumberFormat="1" applyFont="1" applyFill="1" applyBorder="1" applyAlignment="1">
      <x:alignment horizontal="center" vertical="center"/>
    </x:xf>
    <x:xf numFmtId="0" fontId="11" fillId="3" borderId="11" xfId="0" applyNumberFormat="1" applyFont="1" applyFill="1" applyBorder="1" applyAlignment="1">
      <x:alignment horizontal="center" vertical="center"/>
    </x:xf>
    <x:xf numFmtId="0" fontId="12" fillId="3" borderId="0" xfId="0" applyNumberFormat="1" applyFont="1" applyFill="1" applyBorder="1"/>
    <x:xf numFmtId="0" fontId="12" fillId="3" borderId="12" xfId="0" applyNumberFormat="1" applyFont="1" applyFill="1" applyBorder="1"/>
    <x:xf numFmtId="0" fontId="12" fillId="3" borderId="13" xfId="0" applyNumberFormat="1" applyFont="1" applyFill="1" applyBorder="1"/>
    <x:xf numFmtId="0" fontId="12" fillId="3" borderId="14" xfId="0" applyNumberFormat="1" applyFont="1" applyFill="1" applyBorder="1"/>
    <x:xf numFmtId="0" fontId="12" fillId="3" borderId="4" xfId="0" applyNumberFormat="1" applyFont="1" applyFill="1" applyBorder="1"/>
    <x:xf numFmtId="0" fontId="12" fillId="3" borderId="15" xfId="0" applyNumberFormat="1" applyFont="1" applyFill="1" applyBorder="1"/>
    <x:xf numFmtId="203" fontId="12" fillId="3" borderId="12" xfId="0" applyNumberFormat="1" applyFont="1" applyFill="1" applyBorder="1"/>
    <x:xf numFmtId="203" fontId="12" fillId="3" borderId="0" xfId="0" applyNumberFormat="1" applyFont="1" applyFill="1" applyBorder="1"/>
    <x:xf numFmtId="203" fontId="12" fillId="3" borderId="13" xfId="0" applyNumberFormat="1" applyFont="1" applyFill="1" applyBorder="1"/>
    <x:xf numFmtId="203" fontId="12" fillId="3" borderId="14" xfId="0" applyNumberFormat="1" applyFont="1" applyFill="1" applyBorder="1"/>
    <x:xf numFmtId="203" fontId="12" fillId="3" borderId="4" xfId="0" applyNumberFormat="1" applyFont="1" applyFill="1" applyBorder="1"/>
    <x:xf numFmtId="203" fontId="12" fillId="3" borderId="15" xfId="0" applyNumberFormat="1" applyFont="1" applyFill="1" applyBorder="1"/>
    <x:xf numFmtId="203" fontId="12" fillId="3" borderId="12" xfId="0" applyNumberFormat="1" applyFont="1" applyFill="1" applyBorder="1" applyAlignment="1">
      <x:alignment horizontal="center"/>
    </x:xf>
    <x:xf numFmtId="203" fontId="12" fillId="3" borderId="0" xfId="0" applyNumberFormat="1" applyFont="1" applyFill="1" applyBorder="1" applyAlignment="1">
      <x:alignment horizontal="center"/>
    </x:xf>
    <x:xf numFmtId="203" fontId="12" fillId="3" borderId="13" xfId="0" applyNumberFormat="1" applyFont="1" applyFill="1" applyBorder="1" applyAlignment="1">
      <x:alignment horizontal="center"/>
    </x:xf>
    <x:xf numFmtId="203" fontId="12" fillId="3" borderId="14" xfId="0" applyNumberFormat="1" applyFont="1" applyFill="1" applyBorder="1" applyAlignment="1">
      <x:alignment horizontal="center"/>
    </x:xf>
    <x:xf numFmtId="203" fontId="12" fillId="3" borderId="4" xfId="0" applyNumberFormat="1" applyFont="1" applyFill="1" applyBorder="1" applyAlignment="1">
      <x:alignment horizontal="center"/>
    </x:xf>
    <x:xf numFmtId="203" fontId="12" fillId="3" borderId="15" xfId="0" applyNumberFormat="1" applyFont="1" applyFill="1" applyBorder="1" applyAlignment="1">
      <x:alignment horizontal="center"/>
    </x:xf>
    <x:xf numFmtId="203" fontId="12" fillId="3" borderId="12" xfId="0" applyNumberFormat="1" applyFont="1" applyFill="1" applyBorder="1" applyAlignment="1">
      <x:alignment horizontal="center" vertical="center"/>
    </x:xf>
    <x:xf numFmtId="203" fontId="12" fillId="3" borderId="0" xfId="0" applyNumberFormat="1" applyFont="1" applyFill="1" applyBorder="1" applyAlignment="1">
      <x:alignment horizontal="center" vertical="center"/>
    </x:xf>
    <x:xf numFmtId="203" fontId="12" fillId="3" borderId="13" xfId="0" applyNumberFormat="1" applyFont="1" applyFill="1" applyBorder="1" applyAlignment="1">
      <x:alignment horizontal="center" vertical="center"/>
    </x:xf>
    <x:xf numFmtId="203" fontId="12" fillId="3" borderId="14" xfId="0" applyNumberFormat="1" applyFont="1" applyFill="1" applyBorder="1" applyAlignment="1">
      <x:alignment horizontal="center" vertical="center"/>
    </x:xf>
    <x:xf numFmtId="203" fontId="12" fillId="3" borderId="4" xfId="0" applyNumberFormat="1" applyFont="1" applyFill="1" applyBorder="1" applyAlignment="1">
      <x:alignment horizontal="center" vertical="center"/>
    </x:xf>
    <x:xf numFmtId="203" fontId="12" fillId="3" borderId="15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9" xfId="0" applyNumberFormat="1" applyFont="1" applyFill="1" applyBorder="1"/>
    <x:xf numFmtId="0" fontId="11" fillId="7" borderId="10" xfId="0" applyNumberFormat="1" applyFont="1" applyFill="1" applyBorder="1"/>
    <x:xf numFmtId="0" fontId="11" fillId="7" borderId="11" xfId="0" applyNumberFormat="1" applyFont="1" applyFill="1" applyBorder="1"/>
    <x:xf numFmtId="0" fontId="11" fillId="7" borderId="9" xfId="0" applyNumberFormat="1" applyFont="1" applyFill="1" applyBorder="1" applyAlignment="1">
      <x:alignment horizontal="center"/>
    </x:xf>
    <x:xf numFmtId="0" fontId="11" fillId="7" borderId="10" xfId="0" applyNumberFormat="1" applyFont="1" applyFill="1" applyBorder="1" applyAlignment="1">
      <x:alignment horizontal="center"/>
    </x:xf>
    <x:xf numFmtId="0" fontId="11" fillId="7" borderId="11" xfId="0" applyNumberFormat="1" applyFont="1" applyFill="1" applyBorder="1" applyAlignment="1">
      <x:alignment horizontal="center"/>
    </x:xf>
    <x:xf numFmtId="0" fontId="11" fillId="7" borderId="9" xfId="0" applyNumberFormat="1" applyFont="1" applyFill="1" applyBorder="1" applyAlignment="1">
      <x:alignment horizontal="center" vertical="center"/>
    </x:xf>
    <x:xf numFmtId="0" fontId="11" fillId="7" borderId="10" xfId="0" applyNumberFormat="1" applyFont="1" applyFill="1" applyBorder="1" applyAlignment="1">
      <x:alignment horizontal="center" vertical="center"/>
    </x:xf>
    <x:xf numFmtId="0" fontId="11" fillId="7" borderId="11" xfId="0" applyNumberFormat="1" applyFont="1" applyFill="1" applyBorder="1" applyAlignment="1">
      <x:alignment horizontal="center" vertical="center"/>
    </x:xf>
    <x:xf numFmtId="0" fontId="13" fillId="7" borderId="0" xfId="0" applyNumberFormat="1" applyFont="1" applyFill="1" applyBorder="1"/>
    <x:xf numFmtId="0" fontId="13" fillId="7" borderId="12" xfId="0" applyNumberFormat="1" applyFont="1" applyFill="1" applyBorder="1"/>
    <x:xf numFmtId="0" fontId="13" fillId="7" borderId="13" xfId="0" applyNumberFormat="1" applyFont="1" applyFill="1" applyBorder="1"/>
    <x:xf numFmtId="0" fontId="13" fillId="7" borderId="14" xfId="0" applyNumberFormat="1" applyFont="1" applyFill="1" applyBorder="1"/>
    <x:xf numFmtId="0" fontId="13" fillId="7" borderId="4" xfId="0" applyNumberFormat="1" applyFont="1" applyFill="1" applyBorder="1"/>
    <x:xf numFmtId="0" fontId="13" fillId="7" borderId="15" xfId="0" applyNumberFormat="1" applyFont="1" applyFill="1" applyBorder="1"/>
    <x:xf numFmtId="203" fontId="13" fillId="7" borderId="12" xfId="0" applyNumberFormat="1" applyFont="1" applyFill="1" applyBorder="1"/>
    <x:xf numFmtId="203" fontId="13" fillId="7" borderId="0" xfId="0" applyNumberFormat="1" applyFont="1" applyFill="1" applyBorder="1"/>
    <x:xf numFmtId="203" fontId="13" fillId="7" borderId="13" xfId="0" applyNumberFormat="1" applyFont="1" applyFill="1" applyBorder="1"/>
    <x:xf numFmtId="203" fontId="13" fillId="7" borderId="14" xfId="0" applyNumberFormat="1" applyFont="1" applyFill="1" applyBorder="1"/>
    <x:xf numFmtId="203" fontId="13" fillId="7" borderId="4" xfId="0" applyNumberFormat="1" applyFont="1" applyFill="1" applyBorder="1"/>
    <x:xf numFmtId="203" fontId="13" fillId="7" borderId="15" xfId="0" applyNumberFormat="1" applyFont="1" applyFill="1" applyBorder="1"/>
    <x:xf numFmtId="203" fontId="13" fillId="7" borderId="12" xfId="0" applyNumberFormat="1" applyFont="1" applyFill="1" applyBorder="1" applyAlignment="1">
      <x:alignment horizontal="center"/>
    </x:xf>
    <x:xf numFmtId="203" fontId="13" fillId="7" borderId="0" xfId="0" applyNumberFormat="1" applyFont="1" applyFill="1" applyBorder="1" applyAlignment="1">
      <x:alignment horizontal="center"/>
    </x:xf>
    <x:xf numFmtId="203" fontId="13" fillId="7" borderId="13" xfId="0" applyNumberFormat="1" applyFont="1" applyFill="1" applyBorder="1" applyAlignment="1">
      <x:alignment horizontal="center"/>
    </x:xf>
    <x:xf numFmtId="203" fontId="13" fillId="7" borderId="14" xfId="0" applyNumberFormat="1" applyFont="1" applyFill="1" applyBorder="1" applyAlignment="1">
      <x:alignment horizontal="center"/>
    </x:xf>
    <x:xf numFmtId="203" fontId="13" fillId="7" borderId="4" xfId="0" applyNumberFormat="1" applyFont="1" applyFill="1" applyBorder="1" applyAlignment="1">
      <x:alignment horizontal="center"/>
    </x:xf>
    <x:xf numFmtId="203" fontId="13" fillId="7" borderId="15" xfId="0" applyNumberFormat="1" applyFont="1" applyFill="1" applyBorder="1" applyAlignment="1">
      <x:alignment horizontal="center"/>
    </x:xf>
    <x:xf numFmtId="203" fontId="13" fillId="7" borderId="12" xfId="0" applyNumberFormat="1" applyFont="1" applyFill="1" applyBorder="1" applyAlignment="1">
      <x:alignment horizontal="center" vertical="center"/>
    </x:xf>
    <x:xf numFmtId="203" fontId="13" fillId="7" borderId="0" xfId="0" applyNumberFormat="1" applyFont="1" applyFill="1" applyBorder="1" applyAlignment="1">
      <x:alignment horizontal="center" vertical="center"/>
    </x:xf>
    <x:xf numFmtId="203" fontId="13" fillId="7" borderId="13" xfId="0" applyNumberFormat="1" applyFont="1" applyFill="1" applyBorder="1" applyAlignment="1">
      <x:alignment horizontal="center" vertical="center"/>
    </x:xf>
    <x:xf numFmtId="203" fontId="13" fillId="7" borderId="14" xfId="0" applyNumberFormat="1" applyFont="1" applyFill="1" applyBorder="1" applyAlignment="1">
      <x:alignment horizontal="center" vertical="center"/>
    </x:xf>
    <x:xf numFmtId="203" fontId="13" fillId="7" borderId="4" xfId="0" applyNumberFormat="1" applyFont="1" applyFill="1" applyBorder="1" applyAlignment="1">
      <x:alignment horizontal="center" vertical="center"/>
    </x:xf>
    <x:xf numFmtId="203" fontId="13" fillId="7" borderId="15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9" xfId="0" applyNumberFormat="1" applyFont="1" applyFill="1" applyBorder="1"/>
    <x:xf numFmtId="0" fontId="11" fillId="8" borderId="10" xfId="0" applyNumberFormat="1" applyFont="1" applyFill="1" applyBorder="1"/>
    <x:xf numFmtId="0" fontId="11" fillId="8" borderId="11" xfId="0" applyNumberFormat="1" applyFont="1" applyFill="1" applyBorder="1"/>
    <x:xf numFmtId="0" fontId="11" fillId="8" borderId="9" xfId="0" applyNumberFormat="1" applyFont="1" applyFill="1" applyBorder="1" applyAlignment="1">
      <x:alignment horizontal="center"/>
    </x:xf>
    <x:xf numFmtId="0" fontId="11" fillId="8" borderId="10" xfId="0" applyNumberFormat="1" applyFont="1" applyFill="1" applyBorder="1" applyAlignment="1">
      <x:alignment horizontal="center"/>
    </x:xf>
    <x:xf numFmtId="0" fontId="11" fillId="8" borderId="11" xfId="0" applyNumberFormat="1" applyFont="1" applyFill="1" applyBorder="1" applyAlignment="1">
      <x:alignment horizontal="center"/>
    </x:xf>
    <x:xf numFmtId="0" fontId="11" fillId="8" borderId="9" xfId="0" applyNumberFormat="1" applyFont="1" applyFill="1" applyBorder="1" applyAlignment="1">
      <x:alignment horizontal="center" vertical="center"/>
    </x:xf>
    <x:xf numFmtId="0" fontId="11" fillId="8" borderId="10" xfId="0" applyNumberFormat="1" applyFont="1" applyFill="1" applyBorder="1" applyAlignment="1">
      <x:alignment horizontal="center" vertical="center"/>
    </x:xf>
    <x:xf numFmtId="0" fontId="11" fillId="8" borderId="11" xfId="0" applyNumberFormat="1" applyFont="1" applyFill="1" applyBorder="1" applyAlignment="1">
      <x:alignment horizontal="center" vertical="center"/>
    </x:xf>
    <x:xf numFmtId="0" fontId="14" fillId="8" borderId="0" xfId="0" applyNumberFormat="1" applyFont="1" applyFill="1" applyBorder="1"/>
    <x:xf numFmtId="0" fontId="14" fillId="8" borderId="12" xfId="0" applyNumberFormat="1" applyFont="1" applyFill="1" applyBorder="1"/>
    <x:xf numFmtId="0" fontId="14" fillId="8" borderId="13" xfId="0" applyNumberFormat="1" applyFont="1" applyFill="1" applyBorder="1"/>
    <x:xf numFmtId="0" fontId="14" fillId="8" borderId="14" xfId="0" applyNumberFormat="1" applyFont="1" applyFill="1" applyBorder="1"/>
    <x:xf numFmtId="0" fontId="14" fillId="8" borderId="4" xfId="0" applyNumberFormat="1" applyFont="1" applyFill="1" applyBorder="1"/>
    <x:xf numFmtId="0" fontId="14" fillId="8" borderId="15" xfId="0" applyNumberFormat="1" applyFont="1" applyFill="1" applyBorder="1"/>
    <x:xf numFmtId="203" fontId="14" fillId="8" borderId="12" xfId="0" applyNumberFormat="1" applyFont="1" applyFill="1" applyBorder="1"/>
    <x:xf numFmtId="203" fontId="14" fillId="8" borderId="0" xfId="0" applyNumberFormat="1" applyFont="1" applyFill="1" applyBorder="1"/>
    <x:xf numFmtId="203" fontId="14" fillId="8" borderId="13" xfId="0" applyNumberFormat="1" applyFont="1" applyFill="1" applyBorder="1"/>
    <x:xf numFmtId="203" fontId="14" fillId="8" borderId="14" xfId="0" applyNumberFormat="1" applyFont="1" applyFill="1" applyBorder="1"/>
    <x:xf numFmtId="203" fontId="14" fillId="8" borderId="4" xfId="0" applyNumberFormat="1" applyFont="1" applyFill="1" applyBorder="1"/>
    <x:xf numFmtId="203" fontId="14" fillId="8" borderId="15" xfId="0" applyNumberFormat="1" applyFont="1" applyFill="1" applyBorder="1"/>
    <x:xf numFmtId="203" fontId="14" fillId="8" borderId="12" xfId="0" applyNumberFormat="1" applyFont="1" applyFill="1" applyBorder="1" applyAlignment="1">
      <x:alignment horizontal="center"/>
    </x:xf>
    <x:xf numFmtId="203" fontId="14" fillId="8" borderId="0" xfId="0" applyNumberFormat="1" applyFont="1" applyFill="1" applyBorder="1" applyAlignment="1">
      <x:alignment horizontal="center"/>
    </x:xf>
    <x:xf numFmtId="203" fontId="14" fillId="8" borderId="13" xfId="0" applyNumberFormat="1" applyFont="1" applyFill="1" applyBorder="1" applyAlignment="1">
      <x:alignment horizontal="center"/>
    </x:xf>
    <x:xf numFmtId="203" fontId="14" fillId="8" borderId="14" xfId="0" applyNumberFormat="1" applyFont="1" applyFill="1" applyBorder="1" applyAlignment="1">
      <x:alignment horizontal="center"/>
    </x:xf>
    <x:xf numFmtId="203" fontId="14" fillId="8" borderId="4" xfId="0" applyNumberFormat="1" applyFont="1" applyFill="1" applyBorder="1" applyAlignment="1">
      <x:alignment horizontal="center"/>
    </x:xf>
    <x:xf numFmtId="203" fontId="14" fillId="8" borderId="15" xfId="0" applyNumberFormat="1" applyFont="1" applyFill="1" applyBorder="1" applyAlignment="1">
      <x:alignment horizontal="center"/>
    </x:xf>
    <x:xf numFmtId="203" fontId="14" fillId="8" borderId="12" xfId="0" applyNumberFormat="1" applyFont="1" applyFill="1" applyBorder="1" applyAlignment="1">
      <x:alignment horizontal="center" vertical="center"/>
    </x:xf>
    <x:xf numFmtId="203" fontId="14" fillId="8" borderId="0" xfId="0" applyNumberFormat="1" applyFont="1" applyFill="1" applyBorder="1" applyAlignment="1">
      <x:alignment horizontal="center" vertical="center"/>
    </x:xf>
    <x:xf numFmtId="203" fontId="14" fillId="8" borderId="13" xfId="0" applyNumberFormat="1" applyFont="1" applyFill="1" applyBorder="1" applyAlignment="1">
      <x:alignment horizontal="center" vertical="center"/>
    </x:xf>
    <x:xf numFmtId="203" fontId="14" fillId="8" borderId="14" xfId="0" applyNumberFormat="1" applyFont="1" applyFill="1" applyBorder="1" applyAlignment="1">
      <x:alignment horizontal="center" vertical="center"/>
    </x:xf>
    <x:xf numFmtId="203" fontId="14" fillId="8" borderId="4" xfId="0" applyNumberFormat="1" applyFont="1" applyFill="1" applyBorder="1" applyAlignment="1">
      <x:alignment horizontal="center" vertical="center"/>
    </x:xf>
    <x:xf numFmtId="203" fontId="14" fillId="8" borderId="15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9" xfId="0" applyNumberFormat="1" applyFont="1" applyFill="1" applyBorder="1"/>
    <x:xf numFmtId="0" fontId="11" fillId="9" borderId="10" xfId="0" applyNumberFormat="1" applyFont="1" applyFill="1" applyBorder="1"/>
    <x:xf numFmtId="0" fontId="11" fillId="9" borderId="11" xfId="0" applyNumberFormat="1" applyFont="1" applyFill="1" applyBorder="1"/>
    <x:xf numFmtId="0" fontId="11" fillId="9" borderId="9" xfId="0" applyNumberFormat="1" applyFont="1" applyFill="1" applyBorder="1" applyAlignment="1">
      <x:alignment horizontal="center"/>
    </x:xf>
    <x:xf numFmtId="0" fontId="11" fillId="9" borderId="10" xfId="0" applyNumberFormat="1" applyFont="1" applyFill="1" applyBorder="1" applyAlignment="1">
      <x:alignment horizontal="center"/>
    </x:xf>
    <x:xf numFmtId="0" fontId="11" fillId="9" borderId="11" xfId="0" applyNumberFormat="1" applyFont="1" applyFill="1" applyBorder="1" applyAlignment="1">
      <x:alignment horizontal="center"/>
    </x:xf>
    <x:xf numFmtId="0" fontId="11" fillId="9" borderId="9" xfId="0" applyNumberFormat="1" applyFont="1" applyFill="1" applyBorder="1" applyAlignment="1">
      <x:alignment horizontal="center" vertical="center"/>
    </x:xf>
    <x:xf numFmtId="0" fontId="11" fillId="9" borderId="10" xfId="0" applyNumberFormat="1" applyFont="1" applyFill="1" applyBorder="1" applyAlignment="1">
      <x:alignment horizontal="center" vertical="center"/>
    </x:xf>
    <x:xf numFmtId="0" fontId="11" fillId="9" borderId="11" xfId="0" applyNumberFormat="1" applyFont="1" applyFill="1" applyBorder="1" applyAlignment="1">
      <x:alignment horizontal="center" vertical="center"/>
    </x:xf>
    <x:xf numFmtId="0" fontId="15" fillId="9" borderId="0" xfId="0" applyNumberFormat="1" applyFont="1" applyFill="1" applyBorder="1"/>
    <x:xf numFmtId="0" fontId="15" fillId="9" borderId="12" xfId="0" applyNumberFormat="1" applyFont="1" applyFill="1" applyBorder="1"/>
    <x:xf numFmtId="0" fontId="15" fillId="9" borderId="13" xfId="0" applyNumberFormat="1" applyFont="1" applyFill="1" applyBorder="1"/>
    <x:xf numFmtId="0" fontId="15" fillId="9" borderId="14" xfId="0" applyNumberFormat="1" applyFont="1" applyFill="1" applyBorder="1"/>
    <x:xf numFmtId="0" fontId="15" fillId="9" borderId="4" xfId="0" applyNumberFormat="1" applyFont="1" applyFill="1" applyBorder="1"/>
    <x:xf numFmtId="0" fontId="15" fillId="9" borderId="15" xfId="0" applyNumberFormat="1" applyFont="1" applyFill="1" applyBorder="1"/>
    <x:xf numFmtId="202" fontId="15" fillId="9" borderId="12" xfId="0" applyNumberFormat="1" applyFont="1" applyFill="1" applyBorder="1"/>
    <x:xf numFmtId="202" fontId="15" fillId="9" borderId="0" xfId="0" applyNumberFormat="1" applyFont="1" applyFill="1" applyBorder="1"/>
    <x:xf numFmtId="202" fontId="15" fillId="9" borderId="13" xfId="0" applyNumberFormat="1" applyFont="1" applyFill="1" applyBorder="1"/>
    <x:xf numFmtId="202" fontId="15" fillId="9" borderId="14" xfId="0" applyNumberFormat="1" applyFont="1" applyFill="1" applyBorder="1"/>
    <x:xf numFmtId="202" fontId="15" fillId="9" borderId="4" xfId="0" applyNumberFormat="1" applyFont="1" applyFill="1" applyBorder="1"/>
    <x:xf numFmtId="202" fontId="15" fillId="9" borderId="15" xfId="0" applyNumberFormat="1" applyFont="1" applyFill="1" applyBorder="1"/>
    <x:xf numFmtId="202" fontId="15" fillId="9" borderId="12" xfId="0" applyNumberFormat="1" applyFont="1" applyFill="1" applyBorder="1" applyAlignment="1">
      <x:alignment horizontal="center"/>
    </x:xf>
    <x:xf numFmtId="202" fontId="15" fillId="9" borderId="0" xfId="0" applyNumberFormat="1" applyFont="1" applyFill="1" applyBorder="1" applyAlignment="1">
      <x:alignment horizontal="center"/>
    </x:xf>
    <x:xf numFmtId="202" fontId="15" fillId="9" borderId="13" xfId="0" applyNumberFormat="1" applyFont="1" applyFill="1" applyBorder="1" applyAlignment="1">
      <x:alignment horizontal="center"/>
    </x:xf>
    <x:xf numFmtId="202" fontId="15" fillId="9" borderId="14" xfId="0" applyNumberFormat="1" applyFont="1" applyFill="1" applyBorder="1" applyAlignment="1">
      <x:alignment horizontal="center"/>
    </x:xf>
    <x:xf numFmtId="202" fontId="15" fillId="9" borderId="4" xfId="0" applyNumberFormat="1" applyFont="1" applyFill="1" applyBorder="1" applyAlignment="1">
      <x:alignment horizontal="center"/>
    </x:xf>
    <x:xf numFmtId="202" fontId="15" fillId="9" borderId="15" xfId="0" applyNumberFormat="1" applyFont="1" applyFill="1" applyBorder="1" applyAlignment="1">
      <x:alignment horizontal="center"/>
    </x:xf>
    <x:xf numFmtId="202" fontId="15" fillId="9" borderId="12" xfId="0" applyNumberFormat="1" applyFont="1" applyFill="1" applyBorder="1" applyAlignment="1">
      <x:alignment horizontal="center" vertical="center"/>
    </x:xf>
    <x:xf numFmtId="202" fontId="15" fillId="9" borderId="0" xfId="0" applyNumberFormat="1" applyFont="1" applyFill="1" applyBorder="1" applyAlignment="1">
      <x:alignment horizontal="center" vertical="center"/>
    </x:xf>
    <x:xf numFmtId="202" fontId="15" fillId="9" borderId="13" xfId="0" applyNumberFormat="1" applyFont="1" applyFill="1" applyBorder="1" applyAlignment="1">
      <x:alignment horizontal="center" vertical="center"/>
    </x:xf>
    <x:xf numFmtId="202" fontId="15" fillId="9" borderId="14" xfId="0" applyNumberFormat="1" applyFont="1" applyFill="1" applyBorder="1" applyAlignment="1">
      <x:alignment horizontal="center" vertical="center"/>
    </x:xf>
    <x:xf numFmtId="202" fontId="15" fillId="9" borderId="4" xfId="0" applyNumberFormat="1" applyFont="1" applyFill="1" applyBorder="1" applyAlignment="1">
      <x:alignment horizontal="center" vertical="center"/>
    </x:xf>
    <x:xf numFmtId="202" fontId="15" fillId="9" borderId="15" xfId="0" applyNumberFormat="1" applyFont="1" applyFill="1" applyBorder="1" applyAlignment="1">
      <x:alignment horizontal="center" vertical="center"/>
    </x:xf>
    <x:xf numFmtId="0" fontId="11" fillId="5" borderId="0" xfId="0" applyNumberFormat="1" applyFont="1" applyFill="1" applyBorder="1"/>
    <x:xf numFmtId="0" fontId="11" fillId="5" borderId="9" xfId="0" applyNumberFormat="1" applyFont="1" applyFill="1" applyBorder="1"/>
    <x:xf numFmtId="0" fontId="11" fillId="5" borderId="10" xfId="0" applyNumberFormat="1" applyFont="1" applyFill="1" applyBorder="1"/>
    <x:xf numFmtId="0" fontId="11" fillId="5" borderId="11" xfId="0" applyNumberFormat="1" applyFont="1" applyFill="1" applyBorder="1"/>
    <x:xf numFmtId="0" fontId="11" fillId="5" borderId="9" xfId="0" applyNumberFormat="1" applyFont="1" applyFill="1" applyBorder="1" applyAlignment="1">
      <x:alignment horizontal="center"/>
    </x:xf>
    <x:xf numFmtId="0" fontId="11" fillId="5" borderId="10" xfId="0" applyNumberFormat="1" applyFont="1" applyFill="1" applyBorder="1" applyAlignment="1">
      <x:alignment horizontal="center"/>
    </x:xf>
    <x:xf numFmtId="0" fontId="11" fillId="5" borderId="11" xfId="0" applyNumberFormat="1" applyFont="1" applyFill="1" applyBorder="1" applyAlignment="1">
      <x:alignment horizontal="center"/>
    </x:xf>
    <x:xf numFmtId="0" fontId="11" fillId="5" borderId="9" xfId="0" applyNumberFormat="1" applyFont="1" applyFill="1" applyBorder="1" applyAlignment="1">
      <x:alignment horizontal="center" vertical="center"/>
    </x:xf>
    <x:xf numFmtId="0" fontId="11" fillId="5" borderId="10" xfId="0" applyNumberFormat="1" applyFont="1" applyFill="1" applyBorder="1" applyAlignment="1">
      <x:alignment horizontal="center" vertical="center"/>
    </x:xf>
    <x:xf numFmtId="0" fontId="11" fillId="5" borderId="11" xfId="0" applyNumberFormat="1" applyFont="1" applyFill="1" applyBorder="1" applyAlignment="1">
      <x:alignment horizontal="center" vertical="center"/>
    </x:xf>
    <x:xf numFmtId="0" fontId="12" fillId="5" borderId="0" xfId="0" applyNumberFormat="1" applyFont="1" applyFill="1" applyBorder="1"/>
    <x:xf numFmtId="0" fontId="12" fillId="5" borderId="12" xfId="0" applyNumberFormat="1" applyFont="1" applyFill="1" applyBorder="1"/>
    <x:xf numFmtId="0" fontId="12" fillId="5" borderId="13" xfId="0" applyNumberFormat="1" applyFont="1" applyFill="1" applyBorder="1"/>
    <x:xf numFmtId="0" fontId="12" fillId="5" borderId="14" xfId="0" applyNumberFormat="1" applyFont="1" applyFill="1" applyBorder="1"/>
    <x:xf numFmtId="0" fontId="12" fillId="5" borderId="4" xfId="0" applyNumberFormat="1" applyFont="1" applyFill="1" applyBorder="1"/>
    <x:xf numFmtId="0" fontId="12" fillId="5" borderId="15" xfId="0" applyNumberFormat="1" applyFont="1" applyFill="1" applyBorder="1"/>
    <x:xf numFmtId="202" fontId="12" fillId="5" borderId="12" xfId="0" applyNumberFormat="1" applyFont="1" applyFill="1" applyBorder="1"/>
    <x:xf numFmtId="202" fontId="12" fillId="5" borderId="0" xfId="0" applyNumberFormat="1" applyFont="1" applyFill="1" applyBorder="1"/>
    <x:xf numFmtId="202" fontId="12" fillId="5" borderId="13" xfId="0" applyNumberFormat="1" applyFont="1" applyFill="1" applyBorder="1"/>
    <x:xf numFmtId="202" fontId="12" fillId="5" borderId="14" xfId="0" applyNumberFormat="1" applyFont="1" applyFill="1" applyBorder="1"/>
    <x:xf numFmtId="202" fontId="12" fillId="5" borderId="4" xfId="0" applyNumberFormat="1" applyFont="1" applyFill="1" applyBorder="1"/>
    <x:xf numFmtId="202" fontId="12" fillId="5" borderId="15" xfId="0" applyNumberFormat="1" applyFont="1" applyFill="1" applyBorder="1"/>
    <x:xf numFmtId="202" fontId="12" fillId="5" borderId="12" xfId="0" applyNumberFormat="1" applyFont="1" applyFill="1" applyBorder="1" applyAlignment="1">
      <x:alignment horizontal="center"/>
    </x:xf>
    <x:xf numFmtId="202" fontId="12" fillId="5" borderId="0" xfId="0" applyNumberFormat="1" applyFont="1" applyFill="1" applyBorder="1" applyAlignment="1">
      <x:alignment horizontal="center"/>
    </x:xf>
    <x:xf numFmtId="202" fontId="12" fillId="5" borderId="13" xfId="0" applyNumberFormat="1" applyFont="1" applyFill="1" applyBorder="1" applyAlignment="1">
      <x:alignment horizontal="center"/>
    </x:xf>
    <x:xf numFmtId="202" fontId="12" fillId="5" borderId="14" xfId="0" applyNumberFormat="1" applyFont="1" applyFill="1" applyBorder="1" applyAlignment="1">
      <x:alignment horizontal="center"/>
    </x:xf>
    <x:xf numFmtId="202" fontId="12" fillId="5" borderId="4" xfId="0" applyNumberFormat="1" applyFont="1" applyFill="1" applyBorder="1" applyAlignment="1">
      <x:alignment horizontal="center"/>
    </x:xf>
    <x:xf numFmtId="202" fontId="12" fillId="5" borderId="15" xfId="0" applyNumberFormat="1" applyFont="1" applyFill="1" applyBorder="1" applyAlignment="1">
      <x:alignment horizontal="center"/>
    </x:xf>
    <x:xf numFmtId="202" fontId="12" fillId="5" borderId="12" xfId="0" applyNumberFormat="1" applyFont="1" applyFill="1" applyBorder="1" applyAlignment="1">
      <x:alignment horizontal="center" vertical="center"/>
    </x:xf>
    <x:xf numFmtId="202" fontId="12" fillId="5" borderId="0" xfId="0" applyNumberFormat="1" applyFont="1" applyFill="1" applyBorder="1" applyAlignment="1">
      <x:alignment horizontal="center" vertical="center"/>
    </x:xf>
    <x:xf numFmtId="202" fontId="12" fillId="5" borderId="13" xfId="0" applyNumberFormat="1" applyFont="1" applyFill="1" applyBorder="1" applyAlignment="1">
      <x:alignment horizontal="center" vertical="center"/>
    </x:xf>
    <x:xf numFmtId="202" fontId="12" fillId="5" borderId="14" xfId="0" applyNumberFormat="1" applyFont="1" applyFill="1" applyBorder="1" applyAlignment="1">
      <x:alignment horizontal="center" vertical="center"/>
    </x:xf>
    <x:xf numFmtId="202" fontId="12" fillId="5" borderId="4" xfId="0" applyNumberFormat="1" applyFont="1" applyFill="1" applyBorder="1" applyAlignment="1">
      <x:alignment horizontal="center" vertical="center"/>
    </x:xf>
    <x:xf numFmtId="202" fontId="12" fillId="5" borderId="15" xfId="0" applyNumberFormat="1" applyFont="1" applyFill="1" applyBorder="1" applyAlignment="1">
      <x:alignment horizontal="center" vertical="center"/>
    </x:xf>
    <x:xf numFmtId="203" fontId="12" fillId="5" borderId="12" xfId="0" applyNumberFormat="1" applyFont="1" applyFill="1" applyBorder="1"/>
    <x:xf numFmtId="203" fontId="12" fillId="5" borderId="0" xfId="0" applyNumberFormat="1" applyFont="1" applyFill="1" applyBorder="1"/>
    <x:xf numFmtId="203" fontId="12" fillId="5" borderId="13" xfId="0" applyNumberFormat="1" applyFont="1" applyFill="1" applyBorder="1"/>
    <x:xf numFmtId="203" fontId="12" fillId="5" borderId="14" xfId="0" applyNumberFormat="1" applyFont="1" applyFill="1" applyBorder="1"/>
    <x:xf numFmtId="203" fontId="12" fillId="5" borderId="4" xfId="0" applyNumberFormat="1" applyFont="1" applyFill="1" applyBorder="1"/>
    <x:xf numFmtId="203" fontId="12" fillId="5" borderId="15" xfId="0" applyNumberFormat="1" applyFont="1" applyFill="1" applyBorder="1"/>
    <x:xf numFmtId="203" fontId="12" fillId="5" borderId="12" xfId="0" applyNumberFormat="1" applyFont="1" applyFill="1" applyBorder="1" applyAlignment="1">
      <x:alignment horizontal="center"/>
    </x:xf>
    <x:xf numFmtId="203" fontId="12" fillId="5" borderId="0" xfId="0" applyNumberFormat="1" applyFont="1" applyFill="1" applyBorder="1" applyAlignment="1">
      <x:alignment horizontal="center"/>
    </x:xf>
    <x:xf numFmtId="203" fontId="12" fillId="5" borderId="13" xfId="0" applyNumberFormat="1" applyFont="1" applyFill="1" applyBorder="1" applyAlignment="1">
      <x:alignment horizontal="center"/>
    </x:xf>
    <x:xf numFmtId="203" fontId="12" fillId="5" borderId="14" xfId="0" applyNumberFormat="1" applyFont="1" applyFill="1" applyBorder="1" applyAlignment="1">
      <x:alignment horizontal="center"/>
    </x:xf>
    <x:xf numFmtId="203" fontId="12" fillId="5" borderId="4" xfId="0" applyNumberFormat="1" applyFont="1" applyFill="1" applyBorder="1" applyAlignment="1">
      <x:alignment horizontal="center"/>
    </x:xf>
    <x:xf numFmtId="203" fontId="12" fillId="5" borderId="15" xfId="0" applyNumberFormat="1" applyFont="1" applyFill="1" applyBorder="1" applyAlignment="1">
      <x:alignment horizontal="center"/>
    </x:xf>
    <x:xf numFmtId="203" fontId="12" fillId="5" borderId="12" xfId="0" applyNumberFormat="1" applyFont="1" applyFill="1" applyBorder="1" applyAlignment="1">
      <x:alignment horizontal="center" vertical="center"/>
    </x:xf>
    <x:xf numFmtId="203" fontId="12" fillId="5" borderId="0" xfId="0" applyNumberFormat="1" applyFont="1" applyFill="1" applyBorder="1" applyAlignment="1">
      <x:alignment horizontal="center" vertical="center"/>
    </x:xf>
    <x:xf numFmtId="203" fontId="12" fillId="5" borderId="13" xfId="0" applyNumberFormat="1" applyFont="1" applyFill="1" applyBorder="1" applyAlignment="1">
      <x:alignment horizontal="center" vertical="center"/>
    </x:xf>
    <x:xf numFmtId="203" fontId="12" fillId="5" borderId="14" xfId="0" applyNumberFormat="1" applyFont="1" applyFill="1" applyBorder="1" applyAlignment="1">
      <x:alignment horizontal="center" vertical="center"/>
    </x:xf>
    <x:xf numFmtId="203" fontId="12" fillId="5" borderId="4" xfId="0" applyNumberFormat="1" applyFont="1" applyFill="1" applyBorder="1" applyAlignment="1">
      <x:alignment horizontal="center" vertical="center"/>
    </x:xf>
    <x:xf numFmtId="203" fontId="12" fillId="5" borderId="15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0" fillId="10" borderId="4" xfId="0" applyNumberFormat="1" applyFont="1" applyFill="1" applyBorder="1"/>
    <x:xf numFmtId="0" fontId="0" fillId="10" borderId="5" xfId="0" applyNumberFormat="1" applyFont="1" applyFill="1" applyBorder="1"/>
    <x:xf numFmtId="203" fontId="0" fillId="10" borderId="4" xfId="0" applyNumberFormat="1" applyFont="1" applyFill="1" applyBorder="1"/>
    <x:xf numFmtId="203" fontId="0" fillId="10" borderId="5" xfId="0" applyNumberFormat="1" applyFont="1" applyFill="1" applyBorder="1"/>
    <x:xf numFmtId="203" fontId="0" fillId="10" borderId="4" xfId="0" applyNumberFormat="1" applyFont="1" applyFill="1" applyBorder="1" applyAlignment="1">
      <x:alignment horizontal="center"/>
    </x:xf>
    <x:xf numFmtId="203" fontId="0" fillId="10" borderId="5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4" xfId="0" applyNumberFormat="1" applyFont="1" applyFill="1" applyBorder="1"/>
    <x:xf numFmtId="0" fontId="0" fillId="0" borderId="11" xfId="0" applyNumberFormat="1" applyFont="1" applyFill="1" applyBorder="1"/>
    <x:xf numFmtId="0" fontId="0" fillId="0" borderId="9" xfId="0" applyNumberFormat="1" applyFont="1" applyFill="1" applyBorder="1"/>
    <x:xf numFmtId="0" fontId="16" fillId="0" borderId="15" xfId="0" applyNumberFormat="1" applyFont="1" applyFill="1" applyBorder="1"/>
    <x:xf numFmtId="0" fontId="16" fillId="0" borderId="11" xfId="0" applyNumberFormat="1" applyFont="1" applyFill="1" applyBorder="1"/>
    <x:xf numFmtId="0" fontId="0" fillId="0" borderId="14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17" fillId="0" borderId="0" xfId="0" applyNumberFormat="1" applyFont="1" applyFill="1" applyBorder="1"/>
    <x:xf numFmtId="0" fontId="18" fillId="3" borderId="9" xfId="0" applyNumberFormat="1" applyFont="1" applyFill="1" applyBorder="1" applyAlignment="1">
      <x:alignment horizontal="center" vertical="center"/>
    </x:xf>
    <x:xf numFmtId="0" fontId="18" fillId="3" borderId="10" xfId="0" applyNumberFormat="1" applyFont="1" applyFill="1" applyBorder="1" applyAlignment="1">
      <x:alignment horizontal="center" vertical="center"/>
    </x:xf>
    <x:xf numFmtId="0" fontId="18" fillId="3" borderId="11" xfId="0" applyNumberFormat="1" applyFont="1" applyFill="1" applyBorder="1" applyAlignment="1">
      <x:alignment horizontal="center" vertical="center"/>
    </x:xf>
    <x:xf numFmtId="0" fontId="18" fillId="7" borderId="9" xfId="0" applyNumberFormat="1" applyFont="1" applyFill="1" applyBorder="1" applyAlignment="1">
      <x:alignment horizontal="center" vertical="center"/>
    </x:xf>
    <x:xf numFmtId="0" fontId="18" fillId="7" borderId="10" xfId="0" applyNumberFormat="1" applyFont="1" applyFill="1" applyBorder="1" applyAlignment="1">
      <x:alignment horizontal="center" vertical="center"/>
    </x:xf>
    <x:xf numFmtId="0" fontId="18" fillId="7" borderId="11" xfId="0" applyNumberFormat="1" applyFont="1" applyFill="1" applyBorder="1" applyAlignment="1">
      <x:alignment horizontal="center" vertical="center"/>
    </x:xf>
    <x:xf numFmtId="0" fontId="18" fillId="8" borderId="9" xfId="0" applyNumberFormat="1" applyFont="1" applyFill="1" applyBorder="1" applyAlignment="1">
      <x:alignment horizontal="center" vertical="center"/>
    </x:xf>
    <x:xf numFmtId="0" fontId="18" fillId="8" borderId="10" xfId="0" applyNumberFormat="1" applyFont="1" applyFill="1" applyBorder="1" applyAlignment="1">
      <x:alignment horizontal="center" vertical="center"/>
    </x:xf>
    <x:xf numFmtId="0" fontId="18" fillId="8" borderId="11" xfId="0" applyNumberFormat="1" applyFont="1" applyFill="1" applyBorder="1" applyAlignment="1">
      <x:alignment horizontal="center" vertical="center"/>
    </x:xf>
    <x:xf numFmtId="0" fontId="18" fillId="9" borderId="9" xfId="0" applyNumberFormat="1" applyFont="1" applyFill="1" applyBorder="1" applyAlignment="1">
      <x:alignment horizontal="center" vertical="center"/>
    </x:xf>
    <x:xf numFmtId="0" fontId="18" fillId="9" borderId="10" xfId="0" applyNumberFormat="1" applyFont="1" applyFill="1" applyBorder="1" applyAlignment="1">
      <x:alignment horizontal="center" vertical="center"/>
    </x:xf>
    <x:xf numFmtId="0" fontId="18" fillId="9" borderId="11" xfId="0" applyNumberFormat="1" applyFont="1" applyFill="1" applyBorder="1" applyAlignment="1">
      <x:alignment horizontal="center" vertical="center"/>
    </x:xf>
    <x:xf numFmtId="203" fontId="19" fillId="3" borderId="12" xfId="0" applyNumberFormat="1" applyFont="1" applyFill="1" applyBorder="1" applyAlignment="1">
      <x:alignment horizontal="center" vertical="center"/>
    </x:xf>
    <x:xf numFmtId="203" fontId="19" fillId="3" borderId="0" xfId="0" applyNumberFormat="1" applyFont="1" applyFill="1" applyBorder="1" applyAlignment="1">
      <x:alignment horizontal="center" vertical="center"/>
    </x:xf>
    <x:xf numFmtId="203" fontId="19" fillId="3" borderId="13" xfId="0" applyNumberFormat="1" applyFont="1" applyFill="1" applyBorder="1" applyAlignment="1">
      <x:alignment horizontal="center" vertical="center"/>
    </x:xf>
    <x:xf numFmtId="203" fontId="20" fillId="7" borderId="12" xfId="0" applyNumberFormat="1" applyFont="1" applyFill="1" applyBorder="1" applyAlignment="1">
      <x:alignment horizontal="center" vertical="center"/>
    </x:xf>
    <x:xf numFmtId="203" fontId="20" fillId="7" borderId="0" xfId="0" applyNumberFormat="1" applyFont="1" applyFill="1" applyBorder="1" applyAlignment="1">
      <x:alignment horizontal="center" vertical="center"/>
    </x:xf>
    <x:xf numFmtId="203" fontId="20" fillId="7" borderId="13" xfId="0" applyNumberFormat="1" applyFont="1" applyFill="1" applyBorder="1" applyAlignment="1">
      <x:alignment horizontal="center" vertical="center"/>
    </x:xf>
    <x:xf numFmtId="203" fontId="21" fillId="8" borderId="12" xfId="0" applyNumberFormat="1" applyFont="1" applyFill="1" applyBorder="1" applyAlignment="1">
      <x:alignment horizontal="center" vertical="center"/>
    </x:xf>
    <x:xf numFmtId="203" fontId="21" fillId="8" borderId="0" xfId="0" applyNumberFormat="1" applyFont="1" applyFill="1" applyBorder="1" applyAlignment="1">
      <x:alignment horizontal="center" vertical="center"/>
    </x:xf>
    <x:xf numFmtId="203" fontId="21" fillId="8" borderId="13" xfId="0" applyNumberFormat="1" applyFont="1" applyFill="1" applyBorder="1" applyAlignment="1">
      <x:alignment horizontal="center" vertical="center"/>
    </x:xf>
    <x:xf numFmtId="202" fontId="22" fillId="9" borderId="12" xfId="0" applyNumberFormat="1" applyFont="1" applyFill="1" applyBorder="1" applyAlignment="1">
      <x:alignment horizontal="center" vertical="center"/>
    </x:xf>
    <x:xf numFmtId="202" fontId="22" fillId="9" borderId="0" xfId="0" applyNumberFormat="1" applyFont="1" applyFill="1" applyBorder="1" applyAlignment="1">
      <x:alignment horizontal="center" vertical="center"/>
    </x:xf>
    <x:xf numFmtId="202" fontId="22" fillId="9" borderId="13" xfId="0" applyNumberFormat="1" applyFont="1" applyFill="1" applyBorder="1" applyAlignment="1">
      <x:alignment horizontal="center" vertical="center"/>
    </x:xf>
    <x:xf numFmtId="203" fontId="19" fillId="3" borderId="14" xfId="0" applyNumberFormat="1" applyFont="1" applyFill="1" applyBorder="1" applyAlignment="1">
      <x:alignment horizontal="center" vertical="center"/>
    </x:xf>
    <x:xf numFmtId="203" fontId="19" fillId="3" borderId="4" xfId="0" applyNumberFormat="1" applyFont="1" applyFill="1" applyBorder="1" applyAlignment="1">
      <x:alignment horizontal="center" vertical="center"/>
    </x:xf>
    <x:xf numFmtId="203" fontId="19" fillId="3" borderId="15" xfId="0" applyNumberFormat="1" applyFont="1" applyFill="1" applyBorder="1" applyAlignment="1">
      <x:alignment horizontal="center" vertical="center"/>
    </x:xf>
    <x:xf numFmtId="203" fontId="20" fillId="7" borderId="14" xfId="0" applyNumberFormat="1" applyFont="1" applyFill="1" applyBorder="1" applyAlignment="1">
      <x:alignment horizontal="center" vertical="center"/>
    </x:xf>
    <x:xf numFmtId="203" fontId="20" fillId="7" borderId="4" xfId="0" applyNumberFormat="1" applyFont="1" applyFill="1" applyBorder="1" applyAlignment="1">
      <x:alignment horizontal="center" vertical="center"/>
    </x:xf>
    <x:xf numFmtId="203" fontId="20" fillId="7" borderId="15" xfId="0" applyNumberFormat="1" applyFont="1" applyFill="1" applyBorder="1" applyAlignment="1">
      <x:alignment horizontal="center" vertical="center"/>
    </x:xf>
    <x:xf numFmtId="203" fontId="21" fillId="8" borderId="14" xfId="0" applyNumberFormat="1" applyFont="1" applyFill="1" applyBorder="1" applyAlignment="1">
      <x:alignment horizontal="center" vertical="center"/>
    </x:xf>
    <x:xf numFmtId="203" fontId="21" fillId="8" borderId="4" xfId="0" applyNumberFormat="1" applyFont="1" applyFill="1" applyBorder="1" applyAlignment="1">
      <x:alignment horizontal="center" vertical="center"/>
    </x:xf>
    <x:xf numFmtId="203" fontId="21" fillId="8" borderId="15" xfId="0" applyNumberFormat="1" applyFont="1" applyFill="1" applyBorder="1" applyAlignment="1">
      <x:alignment horizontal="center" vertical="center"/>
    </x:xf>
    <x:xf numFmtId="202" fontId="22" fillId="9" borderId="14" xfId="0" applyNumberFormat="1" applyFont="1" applyFill="1" applyBorder="1" applyAlignment="1">
      <x:alignment horizontal="center" vertical="center"/>
    </x:xf>
    <x:xf numFmtId="202" fontId="22" fillId="9" borderId="4" xfId="0" applyNumberFormat="1" applyFont="1" applyFill="1" applyBorder="1" applyAlignment="1">
      <x:alignment horizontal="center" vertical="center"/>
    </x:xf>
    <x:xf numFmtId="202" fontId="22" fillId="9" borderId="15" xfId="0" applyNumberFormat="1" applyFont="1" applyFill="1" applyBorder="1" applyAlignment="1">
      <x:alignment horizontal="center" vertical="center"/>
    </x:xf>
    <x:xf numFmtId="0" fontId="18" fillId="5" borderId="9" xfId="0" applyNumberFormat="1" applyFont="1" applyFill="1" applyBorder="1" applyAlignment="1">
      <x:alignment horizontal="center" vertical="center"/>
    </x:xf>
    <x:xf numFmtId="0" fontId="18" fillId="5" borderId="10" xfId="0" applyNumberFormat="1" applyFont="1" applyFill="1" applyBorder="1" applyAlignment="1">
      <x:alignment horizontal="center" vertical="center"/>
    </x:xf>
    <x:xf numFmtId="0" fontId="18" fillId="5" borderId="11" xfId="0" applyNumberFormat="1" applyFont="1" applyFill="1" applyBorder="1" applyAlignment="1">
      <x:alignment horizontal="center" vertical="center"/>
    </x:xf>
    <x:xf numFmtId="202" fontId="19" fillId="5" borderId="12" xfId="0" applyNumberFormat="1" applyFont="1" applyFill="1" applyBorder="1" applyAlignment="1">
      <x:alignment horizontal="center" vertical="center"/>
    </x:xf>
    <x:xf numFmtId="202" fontId="19" fillId="5" borderId="0" xfId="0" applyNumberFormat="1" applyFont="1" applyFill="1" applyBorder="1" applyAlignment="1">
      <x:alignment horizontal="center" vertical="center"/>
    </x:xf>
    <x:xf numFmtId="202" fontId="19" fillId="5" borderId="13" xfId="0" applyNumberFormat="1" applyFont="1" applyFill="1" applyBorder="1" applyAlignment="1">
      <x:alignment horizontal="center" vertical="center"/>
    </x:xf>
    <x:xf numFmtId="203" fontId="19" fillId="5" borderId="12" xfId="0" applyNumberFormat="1" applyFont="1" applyFill="1" applyBorder="1" applyAlignment="1">
      <x:alignment horizontal="center" vertical="center"/>
    </x:xf>
    <x:xf numFmtId="203" fontId="19" fillId="5" borderId="0" xfId="0" applyNumberFormat="1" applyFont="1" applyFill="1" applyBorder="1" applyAlignment="1">
      <x:alignment horizontal="center" vertical="center"/>
    </x:xf>
    <x:xf numFmtId="203" fontId="19" fillId="5" borderId="13" xfId="0" applyNumberFormat="1" applyFont="1" applyFill="1" applyBorder="1" applyAlignment="1">
      <x:alignment horizontal="center" vertical="center"/>
    </x:xf>
    <x:xf numFmtId="202" fontId="19" fillId="5" borderId="14" xfId="0" applyNumberFormat="1" applyFont="1" applyFill="1" applyBorder="1" applyAlignment="1">
      <x:alignment horizontal="center" vertical="center"/>
    </x:xf>
    <x:xf numFmtId="202" fontId="19" fillId="5" borderId="4" xfId="0" applyNumberFormat="1" applyFont="1" applyFill="1" applyBorder="1" applyAlignment="1">
      <x:alignment horizontal="center" vertical="center"/>
    </x:xf>
    <x:xf numFmtId="202" fontId="19" fillId="5" borderId="15" xfId="0" applyNumberFormat="1" applyFont="1" applyFill="1" applyBorder="1" applyAlignment="1">
      <x:alignment horizontal="center" vertical="center"/>
    </x:xf>
    <x:xf numFmtId="203" fontId="19" fillId="5" borderId="14" xfId="0" applyNumberFormat="1" applyFont="1" applyFill="1" applyBorder="1" applyAlignment="1">
      <x:alignment horizontal="center" vertical="center"/>
    </x:xf>
    <x:xf numFmtId="203" fontId="19" fillId="5" borderId="4" xfId="0" applyNumberFormat="1" applyFont="1" applyFill="1" applyBorder="1" applyAlignment="1">
      <x:alignment horizontal="center" vertical="center"/>
    </x:xf>
    <x:xf numFmtId="203" fontId="19" fillId="5" borderId="15" xfId="0" applyNumberFormat="1" applyFont="1" applyFill="1" applyBorder="1" applyAlignment="1">
      <x:alignment horizontal="center" vertical="center"/>
    </x:xf>
    <x:xf numFmtId="0" fontId="23" fillId="2" borderId="0" xfId="0" applyNumberFormat="1" applyFont="1" applyFill="1" applyBorder="1"/>
    <x:xf numFmtId="0" fontId="23" fillId="4" borderId="0" xfId="0" applyNumberFormat="1" applyFont="1" applyFill="1" applyBorder="1" applyAlignment="1">
      <x:alignment horizontal="center"/>
    </x:xf>
    <x:xf numFmtId="0" fontId="17" fillId="10" borderId="4" xfId="0" applyNumberFormat="1" applyFont="1" applyFill="1" applyBorder="1"/>
    <x:xf numFmtId="203" fontId="17" fillId="10" borderId="4" xfId="0" applyNumberFormat="1" applyFont="1" applyFill="1" applyBorder="1" applyAlignment="1">
      <x:alignment horizontal="center"/>
    </x:xf>
    <x:xf numFmtId="0" fontId="17" fillId="10" borderId="5" xfId="0" applyNumberFormat="1" applyFont="1" applyFill="1" applyBorder="1"/>
    <x:xf numFmtId="203" fontId="17" fillId="10" borderId="5" xfId="0" applyNumberFormat="1" applyFont="1" applyFill="1" applyBorder="1" applyAlignment="1">
      <x:alignment horizontal="center"/>
    </x:xf>
    <x:xf numFmtId="0" fontId="24" fillId="0" borderId="15" xfId="0" applyNumberFormat="1" applyFont="1" applyFill="1" applyBorder="1"/>
    <x:xf numFmtId="0" fontId="17" fillId="0" borderId="14" xfId="0" applyNumberFormat="1" applyFont="1" applyFill="1" applyBorder="1" applyAlignment="1">
      <x:alignment horizontal="center"/>
    </x:xf>
    <x:xf numFmtId="0" fontId="24" fillId="0" borderId="11" xfId="0" applyNumberFormat="1" applyFont="1" applyFill="1" applyBorder="1"/>
    <x:xf numFmtId="0" fontId="17" fillId="0" borderId="9" xfId="0" applyNumberFormat="1" applyFont="1" applyFill="1" applyBorder="1" applyAlignment="1">
      <x:alignment horizontal="center"/>
    </x:xf>
    <x:xf numFmtId="204" fontId="8" fillId="5" borderId="4" xfId="0" applyNumberFormat="1" applyFont="1" applyFill="1" applyBorder="1" applyAlignment="1">
      <x:alignment horizontal="right"/>
    </x:xf>
    <x:xf numFmtId="204" fontId="8" fillId="5" borderId="5" xfId="0" applyNumberFormat="1" applyFont="1" applyFill="1" applyBorder="1" applyAlignment="1">
      <x:alignment horizontal="right"/>
    </x:xf>
  </x:cellXfs>
  <x:cellStyles count="1">
    <x:cellStyle name="Normal" xfId="0"/>
  </x:cellStyles>
  <x:dxfs count="7">
    <x:dxf>
      <x:font>
        <x:b/>
        <x:color rgb="FF228B5A"/>
      </x:font>
      <x:fill>
        <x:patternFill>
          <x:bgColor rgb="FFEAF6EE"/>
        </x:patternFill>
      </x:fill>
    </x:dxf>
    <x:dxf>
      <x:font>
        <x:b/>
        <x:color rgb="FFC23B3B"/>
      </x:font>
      <x:fill>
        <x:patternFill>
          <x:bgColor rgb="FFFDECEC"/>
        </x:patternFill>
      </x:fill>
    </x:dxf>
    <x:dxf>
      <x:font>
        <x:b/>
        <x:color rgb="FFC23B3B"/>
      </x:font>
      <x:fill>
        <x:patternFill>
          <x:bgColor rgb="FFFDECEC"/>
        </x:patternFill>
      </x:fill>
    </x:dxf>
    <x:dxf>
      <x:font>
        <x:b/>
        <x:color rgb="FF228B5A"/>
      </x:font>
      <x:fill>
        <x:patternFill>
          <x:bgColor rgb="FFEAF6EE"/>
        </x:patternFill>
      </x:fill>
    </x:dxf>
    <x:dxf>
      <x:font>
        <x:b/>
        <x:color rgb="FFC23B3B"/>
      </x:font>
      <x:fill>
        <x:patternFill>
          <x:bgColor rgb="FFFDECEC"/>
        </x:patternFill>
      </x:fill>
    </x:dxf>
    <x:dxf>
      <x:font>
        <x:b/>
        <x:color rgb="FFC23B3B"/>
      </x:font>
      <x:fill>
        <x:patternFill>
          <x:bgColor rgb="FFFDECEC"/>
        </x:patternFill>
      </x:fill>
    </x:dxf>
    <x:dxf>
      <x:font>
        <x:b/>
        <x:color rgb="FF228B5A"/>
      </x:font>
      <x:fill>
        <x:patternFill>
          <x:bgColor rgb="FFEAF6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63e1a8df014a8e" /><Relationship Type="http://schemas.openxmlformats.org/officeDocument/2006/relationships/theme" Target="/xl/theme/theme1.xml" Id="Red0f9bf87ba842a4" /><Relationship Type="http://schemas.openxmlformats.org/officeDocument/2006/relationships/sharedStrings" Target="/xl/sharedStrings.xml" Id="Ref79c596b27d4cc8" /><Relationship Type="http://schemas.openxmlformats.org/officeDocument/2006/relationships/worksheet" Target="/xl/worksheets/sheet1.xml" Id="R4da61b9c4a6b4dcc" /><Relationship Type="http://schemas.openxmlformats.org/officeDocument/2006/relationships/worksheet" Target="/xl/worksheets/sheet2.xml" Id="R478bf1f636bc4cc7" /><Relationship Type="http://schemas.openxmlformats.org/officeDocument/2006/relationships/worksheet" Target="/xl/worksheets/sheet3.xml" Id="R0c993c354ea04893" /><Relationship Type="http://schemas.microsoft.com/office/2017/10/relationships/person" Target="/xl/persons/person.xml" Id="R0aff87bedf8648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499b489858440d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Incidents by Equipment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Total</c:v>
          </c:tx>
          <c:cat>
            <c:strRef>
              <c:f>'Dashboard'!$A$14:$A$21</c:f>
              <c:strCache>
                <c:ptCount val="0"/>
              </c:strCache>
            </c:strRef>
          </c:cat>
          <c:val>
            <c:numRef>
              <c:f>'Dashboard'!$B$14:$B$21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Not Closed</c:v>
          </c:tx>
          <c:cat>
            <c:strRef>
              <c:f>'Dashboard'!$A$14:$A$21</c:f>
              <c:strCache>
                <c:ptCount val="0"/>
              </c:strCache>
            </c:strRef>
          </c:cat>
          <c:val>
            <c:numRef>
              <c:f>'Dashboard'!$C$14:$C$21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11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99b489858440d6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B881D622-1D7D-47C5-ADD2-4B3A1C1B40E3}"/>
  <xltc:person displayName="User" id="{74563458-7336-49E1-9EA2-DAFB3E5C1C32}"/>
</xltc:personList>
</file>

<file path=xl/tables/table1.xml><?xml version="1.0" encoding="utf-8"?>
<x:table xmlns:x="http://schemas.openxmlformats.org/spreadsheetml/2006/main" id="1" name="FaultRegisterTable" displayName="FaultRegisterTable" ref="A5:Q205" headerRowCount="1" totalsRowCount="0" totalsRowShown="0">
  <x:autoFilter ref="A5:Q205"/>
  <x:tableColumns count="17">
    <x:tableColumn id="1" name="SI No."/>
    <x:tableColumn id="2" name="Lane No."/>
    <x:tableColumn id="3" name="Fault Type"/>
    <x:tableColumn id="4" name="Equipment"/>
    <x:tableColumn id="5" name="Fault Description"/>
    <x:tableColumn id="6" name="Category"/>
    <x:tableColumn id="7" name="Reported Date"/>
    <x:tableColumn id="8" name="Reported Time"/>
    <x:tableColumn id="9" name="Reported By"/>
    <x:tableColumn id="10" name="Action Taken"/>
    <x:tableColumn id="11" name="Resolved Date"/>
    <x:tableColumn id="12" name="Resolved Time"/>
    <x:tableColumn id="13" name="Downtime (hrs)"/>
    <x:tableColumn id="14" name="Ticket Status"/>
    <x:tableColumn id="15" name="Equipment Status"/>
    <x:tableColumn id="16" name="Remarks"/>
    <x:tableColumn id="17" name="Attended B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M5" dT="2026-08-07T12:35:19.497" personId="{B881D622-1D7D-47C5-ADD2-4B3A1C1B40E3}" id="{98403B1C-D1A9-4638-E628-832393F62372}">
    <xltc:text>Downtime formula: (Resolved Date + Resolved Time − Reported Date − Reported Time) × 24. It stays blank until resolution details are complete.</xltc:text>
  </xltc:threadedComment>
  <xltc:threadedComment ref="M5" dT="2026-08-08T07:50:16.321" personId="{74563458-7336-49E1-9EA2-DAFB3E5C1C32}" id="{8F242C0A-D811-4C9A-A47A-1F277E8A6782}" parentId="{98403B1C-D1A9-4638-E628-832393F62372}">
    <xltc:text>Updated: the register now stores the true Excel duration, (Resolved Date + Time) − (Reported Date + Time), and displays it as [h]:mm:ss. Dashboard hour metrics convert that duration to hours.</xltc:text>
  </xltc:threadedComment>
  <xltc:threadedComment ref="N5" dT="2026-08-07T12:35:19.497" personId="{B881D622-1D7D-47C5-ADD2-4B3A1C1B40E3}" id="{D97437B0-E744-F9A1-96CB-24DF1AEDC6A6}">
    <xltc:text>Ticket Status is calculated automatically: Closed when both resolved date and time are present; otherwise Not Closed.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3aa3e8a0b1042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d5425d9dd3d14beb" /><Relationship Type="http://schemas.openxmlformats.org/officeDocument/2006/relationships/vmlDrawing" Target="/xl/drawings/vmldrawing.vml" Id="R84eddc5aabdb4777" /><Relationship Type="http://schemas.microsoft.com/office/2017/10/relationships/threadedComment" Target="/xl/threadedcomments/threadedcomment.xml" Id="R994974b40a2d4664" /><Relationship Type="http://schemas.openxmlformats.org/officeDocument/2006/relationships/table" Target="/xl/tables/table1.xml" Id="R4a7663e3398547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8" customHeight="1">
      <x:c r="A1" s="80" t="str">
        <x:v>FAULT MANAGEMENT DASHBOARD</x:v>
      </x:c>
      <x:c r="B1" s="80"/>
      <x:c r="C1" s="80"/>
      <x:c r="D1" s="80"/>
      <x:c r="E1" s="80"/>
      <x:c r="F1" s="80"/>
      <x:c r="G1" s="80"/>
      <x:c r="H1" s="80"/>
      <x:c r="I1" s="80"/>
      <x:c r="J1" s="80"/>
      <x:c r="K1" s="80"/>
      <x:c r="L1" s="80"/>
    </x:row>
    <x:row r="2" ht="26" customHeight="1">
      <x:c r="A2" s="35" t="str">
        <x:v>Live summary based on the Fault Register. Add or update incidents there; this page refreshes automatically in Excel.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</x:row>
    <x:row r="3">
      <x:c r="A3" s="288"/>
      <x:c r="B3" s="288"/>
      <x:c r="C3" s="288"/>
      <x:c r="D3" s="288"/>
      <x:c r="E3" s="288"/>
      <x:c r="F3" s="288"/>
      <x:c r="G3" s="288"/>
      <x:c r="H3" s="288"/>
      <x:c r="I3" s="288"/>
      <x:c r="J3" s="288"/>
      <x:c r="K3" s="288"/>
      <x:c r="L3" s="288"/>
    </x:row>
    <x:row r="4">
      <x:c r="A4" s="289" t="str">
        <x:v>TOTAL INCIDENTS</x:v>
      </x:c>
      <x:c r="B4" s="290"/>
      <x:c r="C4" s="291"/>
      <x:c r="D4" s="292" t="str">
        <x:v>NOT CLOSED</x:v>
      </x:c>
      <x:c r="E4" s="293"/>
      <x:c r="F4" s="294"/>
      <x:c r="G4" s="295" t="str">
        <x:v>CLOSED</x:v>
      </x:c>
      <x:c r="H4" s="296"/>
      <x:c r="I4" s="297"/>
      <x:c r="J4" s="298" t="str">
        <x:v>TOTAL DOWNTIME (HRS)</x:v>
      </x:c>
      <x:c r="K4" s="299"/>
      <x:c r="L4" s="300"/>
    </x:row>
    <x:row r="5">
      <x:c r="A5" s="301" t="n">
        <x:f>COUNTA('Fault Register'!$B$6:$B$205)</x:f>
        <x:v>3</x:v>
      </x:c>
      <x:c r="B5" s="302"/>
      <x:c r="C5" s="303"/>
      <x:c r="D5" s="304" t="n">
        <x:f>COUNTIF('Fault Register'!$N$6:$N$205,"Not Closed")</x:f>
        <x:v>2</x:v>
      </x:c>
      <x:c r="E5" s="305"/>
      <x:c r="F5" s="306"/>
      <x:c r="G5" s="307" t="n">
        <x:f>COUNTIF('Fault Register'!$N$6:$N$205,"Closed")</x:f>
        <x:v>1</x:v>
      </x:c>
      <x:c r="H5" s="308"/>
      <x:c r="I5" s="309"/>
      <x:c r="J5" s="310" t="n">
        <x:f>SUM('Fault Register'!$M$6:$M$205)*24</x:f>
        <x:v>0.09999999997671694</x:v>
      </x:c>
      <x:c r="K5" s="311"/>
      <x:c r="L5" s="312"/>
    </x:row>
    <x:row r="6">
      <x:c r="A6" s="313"/>
      <x:c r="B6" s="314"/>
      <x:c r="C6" s="315"/>
      <x:c r="D6" s="316"/>
      <x:c r="E6" s="317"/>
      <x:c r="F6" s="318"/>
      <x:c r="G6" s="319"/>
      <x:c r="H6" s="320"/>
      <x:c r="I6" s="321"/>
      <x:c r="J6" s="322"/>
      <x:c r="K6" s="323"/>
      <x:c r="L6" s="324"/>
    </x:row>
    <x:row r="7">
      <x:c r="A7" s="288"/>
      <x:c r="B7" s="288"/>
      <x:c r="C7" s="288"/>
      <x:c r="D7" s="288"/>
      <x:c r="E7" s="288"/>
      <x:c r="F7" s="288"/>
      <x:c r="G7" s="288"/>
      <x:c r="H7" s="288"/>
      <x:c r="I7" s="288"/>
      <x:c r="J7" s="288"/>
      <x:c r="K7" s="288"/>
      <x:c r="L7" s="288"/>
    </x:row>
    <x:row r="8">
      <x:c r="A8" s="325" t="str">
        <x:v>AVG. RESOLUTION (HRS)</x:v>
      </x:c>
      <x:c r="B8" s="326"/>
      <x:c r="C8" s="327"/>
      <x:c r="D8" s="325" t="str">
        <x:v>HARDWARE FAULTS</x:v>
      </x:c>
      <x:c r="E8" s="326"/>
      <x:c r="F8" s="327"/>
      <x:c r="G8" s="325" t="str">
        <x:v>SOFTWARE FAULTS</x:v>
      </x:c>
      <x:c r="H8" s="326"/>
      <x:c r="I8" s="327"/>
      <x:c r="J8" s="325" t="str">
        <x:v>REPORTED TODAY</x:v>
      </x:c>
      <x:c r="K8" s="326"/>
      <x:c r="L8" s="327"/>
    </x:row>
    <x:row r="9">
      <x:c r="A9" s="328" t="n">
        <x:f>IF(COUNTIF('Fault Register'!$N$6:$N$205,"Closed")=0,0,AVERAGEIF('Fault Register'!$N$6:$N$205,"Closed",'Fault Register'!$M$6:$M$205)*24)</x:f>
        <x:v>0.09999999997671694</x:v>
      </x:c>
      <x:c r="B9" s="329"/>
      <x:c r="C9" s="330"/>
      <x:c r="D9" s="331" t="n">
        <x:f>COUNTIF('Fault Register'!$C$6:$C$205,"HW")</x:f>
        <x:v>3</x:v>
      </x:c>
      <x:c r="E9" s="332"/>
      <x:c r="F9" s="333"/>
      <x:c r="G9" s="331" t="n">
        <x:f>COUNTIF('Fault Register'!$C$6:$C$205,"SW")</x:f>
        <x:v>0</x:v>
      </x:c>
      <x:c r="H9" s="332"/>
      <x:c r="I9" s="333"/>
      <x:c r="J9" s="331" t="n">
        <x:f>COUNTIF('Fault Register'!$G$6:$G$205,TODAY())</x:f>
        <x:v>0</x:v>
      </x:c>
      <x:c r="K9" s="332"/>
      <x:c r="L9" s="333"/>
    </x:row>
    <x:row r="10">
      <x:c r="A10" s="334"/>
      <x:c r="B10" s="335"/>
      <x:c r="C10" s="336"/>
      <x:c r="D10" s="337"/>
      <x:c r="E10" s="338"/>
      <x:c r="F10" s="339"/>
      <x:c r="G10" s="337"/>
      <x:c r="H10" s="338"/>
      <x:c r="I10" s="339"/>
      <x:c r="J10" s="337"/>
      <x:c r="K10" s="338"/>
      <x:c r="L10" s="339"/>
    </x:row>
    <x:row r="11">
      <x:c r="A11" s="288"/>
      <x:c r="B11" s="288"/>
      <x:c r="C11" s="288"/>
      <x:c r="D11" s="288"/>
      <x:c r="E11" s="288"/>
      <x:c r="F11" s="288"/>
      <x:c r="G11" s="288"/>
      <x:c r="H11" s="288"/>
      <x:c r="I11" s="288"/>
      <x:c r="J11" s="288"/>
      <x:c r="K11" s="288"/>
      <x:c r="L11" s="288"/>
    </x:row>
    <x:row r="12">
      <x:c r="A12" s="340" t="str">
        <x:v>INCIDENTS BY EQUIPMENT</x:v>
      </x:c>
      <x:c r="B12" s="340"/>
      <x:c r="C12" s="340"/>
      <x:c r="D12" s="288"/>
      <x:c r="E12" s="288"/>
      <x:c r="F12" s="288"/>
      <x:c r="G12" s="288"/>
      <x:c r="H12" s="288"/>
      <x:c r="I12" s="288"/>
      <x:c r="J12" s="288"/>
      <x:c r="K12" s="288"/>
      <x:c r="L12" s="288"/>
    </x:row>
    <x:row r="13">
      <x:c r="A13" s="341" t="str">
        <x:v>Equipment</x:v>
      </x:c>
      <x:c r="B13" s="341" t="str">
        <x:v>Total</x:v>
      </x:c>
      <x:c r="C13" s="341" t="str">
        <x:v>Not Closed</x:v>
      </x:c>
      <x:c r="D13" s="288"/>
      <x:c r="E13" s="288"/>
      <x:c r="F13" s="288"/>
      <x:c r="G13" s="288"/>
      <x:c r="H13" s="288"/>
      <x:c r="I13" s="288"/>
      <x:c r="J13" s="288"/>
      <x:c r="K13" s="288"/>
      <x:c r="L13" s="288"/>
    </x:row>
    <x:row r="14">
      <x:c r="A14" s="342" t="str">
        <x:f>'Lists &amp; Setup'!C5</x:f>
        <x:v>UFD</x:v>
      </x:c>
      <x:c r="B14" s="343" t="n">
        <x:f>COUNTIF('Fault Register'!$D$6:$D$205,A14)</x:f>
        <x:v>2</x:v>
      </x:c>
      <x:c r="C14" s="343" t="n">
        <x:f>COUNTIFS('Fault Register'!$D$6:$D$205,A14,'Fault Register'!$N$6:$N$205,"Not Closed")</x:f>
        <x:v>2</x:v>
      </x:c>
      <x:c r="D14" s="288"/>
      <x:c r="E14" s="288"/>
      <x:c r="F14" s="288"/>
      <x:c r="G14" s="288"/>
      <x:c r="H14" s="288"/>
      <x:c r="I14" s="288"/>
      <x:c r="J14" s="288"/>
      <x:c r="K14" s="288"/>
      <x:c r="L14" s="288"/>
    </x:row>
    <x:row r="15">
      <x:c r="A15" s="344" t="str">
        <x:f>'Lists &amp; Setup'!C6</x:f>
        <x:v>TCM</x:v>
      </x:c>
      <x:c r="B15" s="345" t="n">
        <x:f>COUNTIF('Fault Register'!$D$6:$D$205,A15)</x:f>
        <x:v>1</x:v>
      </x:c>
      <x:c r="C15" s="345" t="n">
        <x:f>COUNTIFS('Fault Register'!$D$6:$D$205,A15,'Fault Register'!$N$6:$N$205,"Not Closed")</x:f>
        <x:v>0</x:v>
      </x:c>
      <x:c r="D15" s="288"/>
      <x:c r="E15" s="288"/>
      <x:c r="F15" s="288"/>
      <x:c r="G15" s="288"/>
      <x:c r="H15" s="288"/>
      <x:c r="I15" s="288"/>
      <x:c r="J15" s="288"/>
      <x:c r="K15" s="288"/>
      <x:c r="L15" s="288"/>
    </x:row>
    <x:row r="16">
      <x:c r="A16" s="344" t="str">
        <x:f>'Lists &amp; Setup'!C7</x:f>
        <x:v>AVC</x:v>
      </x:c>
      <x:c r="B16" s="345" t="n">
        <x:f>COUNTIF('Fault Register'!$D$6:$D$205,A16)</x:f>
        <x:v>0</x:v>
      </x:c>
      <x:c r="C16" s="345" t="n">
        <x:f>COUNTIFS('Fault Register'!$D$6:$D$205,A16,'Fault Register'!$N$6:$N$205,"Not Closed")</x:f>
        <x:v>0</x:v>
      </x:c>
      <x:c r="D16" s="288"/>
      <x:c r="E16" s="288"/>
      <x:c r="F16" s="288"/>
      <x:c r="G16" s="288"/>
      <x:c r="H16" s="288"/>
      <x:c r="I16" s="288"/>
      <x:c r="J16" s="288"/>
      <x:c r="K16" s="288"/>
      <x:c r="L16" s="288"/>
    </x:row>
    <x:row r="17">
      <x:c r="A17" s="344" t="str">
        <x:f>'Lists &amp; Setup'!C8</x:f>
        <x:v>Camera</x:v>
      </x:c>
      <x:c r="B17" s="345" t="n">
        <x:f>COUNTIF('Fault Register'!$D$6:$D$205,A17)</x:f>
        <x:v>0</x:v>
      </x:c>
      <x:c r="C17" s="345" t="n">
        <x:f>COUNTIFS('Fault Register'!$D$6:$D$205,A17,'Fault Register'!$N$6:$N$205,"Not Closed")</x:f>
        <x:v>0</x:v>
      </x:c>
      <x:c r="D17" s="288"/>
      <x:c r="E17" s="288"/>
      <x:c r="F17" s="288"/>
      <x:c r="G17" s="288"/>
      <x:c r="H17" s="288"/>
      <x:c r="I17" s="288"/>
      <x:c r="J17" s="288"/>
      <x:c r="K17" s="288"/>
      <x:c r="L17" s="288"/>
    </x:row>
    <x:row r="18">
      <x:c r="A18" s="344" t="str">
        <x:f>'Lists &amp; Setup'!C9</x:f>
        <x:v>Printer</x:v>
      </x:c>
      <x:c r="B18" s="345" t="n">
        <x:f>COUNTIF('Fault Register'!$D$6:$D$205,A18)</x:f>
        <x:v>0</x:v>
      </x:c>
      <x:c r="C18" s="345" t="n">
        <x:f>COUNTIFS('Fault Register'!$D$6:$D$205,A18,'Fault Register'!$N$6:$N$205,"Not Closed")</x:f>
        <x:v>0</x:v>
      </x:c>
      <x:c r="D18" s="288"/>
      <x:c r="E18" s="288"/>
      <x:c r="F18" s="288"/>
      <x:c r="G18" s="288"/>
      <x:c r="H18" s="288"/>
      <x:c r="I18" s="288"/>
      <x:c r="J18" s="288"/>
      <x:c r="K18" s="288"/>
      <x:c r="L18" s="288"/>
    </x:row>
    <x:row r="19">
      <x:c r="A19" s="344" t="str">
        <x:f>'Lists &amp; Setup'!C10</x:f>
        <x:v>Network</x:v>
      </x:c>
      <x:c r="B19" s="345" t="n">
        <x:f>COUNTIF('Fault Register'!$D$6:$D$205,A19)</x:f>
        <x:v>0</x:v>
      </x:c>
      <x:c r="C19" s="345" t="n">
        <x:f>COUNTIFS('Fault Register'!$D$6:$D$205,A19,'Fault Register'!$N$6:$N$205,"Not Closed")</x:f>
        <x:v>0</x:v>
      </x:c>
      <x:c r="D19" s="288"/>
      <x:c r="E19" s="288"/>
      <x:c r="F19" s="288"/>
      <x:c r="G19" s="288"/>
      <x:c r="H19" s="288"/>
      <x:c r="I19" s="288"/>
      <x:c r="J19" s="288"/>
      <x:c r="K19" s="288"/>
      <x:c r="L19" s="288"/>
    </x:row>
    <x:row r="20">
      <x:c r="A20" s="344" t="str">
        <x:f>'Lists &amp; Setup'!C11</x:f>
        <x:v>Server</x:v>
      </x:c>
      <x:c r="B20" s="345" t="n">
        <x:f>COUNTIF('Fault Register'!$D$6:$D$205,A20)</x:f>
        <x:v>0</x:v>
      </x:c>
      <x:c r="C20" s="345" t="n">
        <x:f>COUNTIFS('Fault Register'!$D$6:$D$205,A20,'Fault Register'!$N$6:$N$205,"Not Closed")</x:f>
        <x:v>0</x:v>
      </x:c>
      <x:c r="D20" s="288"/>
      <x:c r="E20" s="288"/>
      <x:c r="F20" s="288"/>
      <x:c r="G20" s="288"/>
      <x:c r="H20" s="288"/>
      <x:c r="I20" s="288"/>
      <x:c r="J20" s="288"/>
      <x:c r="K20" s="288"/>
      <x:c r="L20" s="288"/>
    </x:row>
    <x:row r="21">
      <x:c r="A21" s="344" t="str">
        <x:f>'Lists &amp; Setup'!C12</x:f>
        <x:v>Other</x:v>
      </x:c>
      <x:c r="B21" s="345" t="n">
        <x:f>COUNTIF('Fault Register'!$D$6:$D$205,A21)</x:f>
        <x:v>0</x:v>
      </x:c>
      <x:c r="C21" s="345" t="n">
        <x:f>COUNTIFS('Fault Register'!$D$6:$D$205,A21,'Fault Register'!$N$6:$N$205,"Not Closed")</x:f>
        <x:v>0</x:v>
      </x:c>
      <x:c r="D21" s="288"/>
      <x:c r="E21" s="288"/>
      <x:c r="F21" s="288"/>
      <x:c r="G21" s="288"/>
      <x:c r="H21" s="288"/>
      <x:c r="I21" s="288"/>
      <x:c r="J21" s="288"/>
      <x:c r="K21" s="288"/>
      <x:c r="L21" s="288"/>
    </x:row>
    <x:row r="22">
      <x:c r="A22" s="288"/>
      <x:c r="B22" s="288"/>
      <x:c r="C22" s="288"/>
      <x:c r="D22" s="288"/>
      <x:c r="E22" s="288"/>
      <x:c r="F22" s="288"/>
      <x:c r="G22" s="288"/>
      <x:c r="H22" s="288"/>
      <x:c r="I22" s="288"/>
      <x:c r="J22" s="288"/>
      <x:c r="K22" s="288"/>
      <x:c r="L22" s="288"/>
    </x:row>
    <x:row r="23">
      <x:c r="A23" s="340" t="str">
        <x:v>TICKET STATUS</x:v>
      </x:c>
      <x:c r="B23" s="340"/>
      <x:c r="C23" s="340"/>
      <x:c r="D23" s="288"/>
      <x:c r="E23" s="288"/>
      <x:c r="F23" s="288"/>
      <x:c r="G23" s="288"/>
      <x:c r="H23" s="288"/>
      <x:c r="I23" s="288"/>
      <x:c r="J23" s="288"/>
      <x:c r="K23" s="288"/>
      <x:c r="L23" s="288"/>
    </x:row>
    <x:row r="24">
      <x:c r="A24" s="341" t="str">
        <x:v>Status</x:v>
      </x:c>
      <x:c r="B24" s="341" t="str">
        <x:v>Count</x:v>
      </x:c>
      <x:c r="C24" s="288"/>
      <x:c r="D24" s="288"/>
      <x:c r="E24" s="288"/>
      <x:c r="F24" s="288"/>
      <x:c r="G24" s="288"/>
      <x:c r="H24" s="288"/>
      <x:c r="I24" s="288"/>
      <x:c r="J24" s="288"/>
      <x:c r="K24" s="288"/>
      <x:c r="L24" s="288"/>
    </x:row>
    <x:row r="25">
      <x:c r="A25" s="346" t="str">
        <x:v>Not Closed</x:v>
      </x:c>
      <x:c r="B25" s="347" t="n">
        <x:f>COUNTIF('Fault Register'!$N$6:$N$205,A25)</x:f>
        <x:v>2</x:v>
      </x:c>
      <x:c r="C25" s="288"/>
      <x:c r="D25" s="288"/>
      <x:c r="E25" s="288"/>
      <x:c r="F25" s="288"/>
      <x:c r="G25" s="288"/>
      <x:c r="H25" s="288"/>
      <x:c r="I25" s="288"/>
      <x:c r="J25" s="288"/>
      <x:c r="K25" s="288"/>
      <x:c r="L25" s="288"/>
    </x:row>
    <x:row r="26">
      <x:c r="A26" s="348" t="str">
        <x:v>Closed</x:v>
      </x:c>
      <x:c r="B26" s="349" t="n">
        <x:f>COUNTIF('Fault Register'!$N$6:$N$205,A26)</x:f>
        <x:v>1</x:v>
      </x:c>
      <x:c r="C26" s="288"/>
      <x:c r="D26" s="288"/>
      <x:c r="E26" s="288"/>
      <x:c r="F26" s="288"/>
      <x:c r="G26" s="288"/>
      <x:c r="H26" s="288"/>
      <x:c r="I26" s="288"/>
      <x:c r="J26" s="288"/>
      <x:c r="K26" s="288"/>
      <x:c r="L26" s="288"/>
    </x:row>
    <x:row r="27">
      <x:c r="A27" s="288"/>
      <x:c r="B27" s="288"/>
      <x:c r="C27" s="288"/>
      <x:c r="D27" s="288"/>
      <x:c r="E27" s="288"/>
      <x:c r="F27" s="288"/>
      <x:c r="G27" s="288"/>
      <x:c r="H27" s="288"/>
      <x:c r="I27" s="288"/>
      <x:c r="J27" s="288"/>
      <x:c r="K27" s="288"/>
      <x:c r="L27" s="288"/>
    </x:row>
  </x:sheetData>
  <x:mergeCells>
    <x:mergeCell ref="A1:L1"/>
    <x:mergeCell ref="A2:L2"/>
    <x:mergeCell ref="A4:C4"/>
    <x:mergeCell ref="A5:C6"/>
    <x:mergeCell ref="D4:F4"/>
    <x:mergeCell ref="D5:F6"/>
    <x:mergeCell ref="G4:I4"/>
    <x:mergeCell ref="G5:I6"/>
    <x:mergeCell ref="J4:L4"/>
    <x:mergeCell ref="J5:L6"/>
    <x:mergeCell ref="A8:C8"/>
    <x:mergeCell ref="A9:C10"/>
    <x:mergeCell ref="D8:F8"/>
    <x:mergeCell ref="D9:F10"/>
    <x:mergeCell ref="G8:I8"/>
    <x:mergeCell ref="G9:I10"/>
    <x:mergeCell ref="J8:L8"/>
    <x:mergeCell ref="J9:L10"/>
    <x:mergeCell ref="A12:C12"/>
    <x:mergeCell ref="A23:C23"/>
  </x:mergeCells>
  <x:conditionalFormatting sqref="B14:B21">
    <x:cfRule type="dataBar" priority="1">
      <x:dataBar>
        <x:cfvo type="min"/>
        <x:cfvo type="max"/>
        <x:color rgb="FF167D8D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conditionalFormatting sqref="A25:B25">
    <x:cfRule type="containsText" dxfId="5" priority="2" operator="containsText" text="Not Closed"/>
  </x:conditionalFormatting>
  <x:conditionalFormatting sqref="A26:B26">
    <x:cfRule type="containsText" dxfId="6" priority="3" operator="containsText" text="Closed"/>
  </x:conditionalFormatting>
  <x:pageMargins left="0.7" right="0.7" top="0.75" bottom="0.75" header="0.3" footer="0.3"/>
  <x:drawing xmlns:r="http://schemas.openxmlformats.org/officeDocument/2006/relationships" r:id="R13aa3e8a0b1042d2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167D8D"/>
            </x14:dataBar>
          </x14:cfRule>
          <xm:sqref>B14:B21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1" hidden="0" customWidth="1"/>
    <x:col min="4" max="4" width="13" hidden="0" customWidth="1"/>
    <x:col min="5" max="5" width="24" hidden="0" customWidth="1"/>
    <x:col min="6" max="6" width="10" hidden="0" customWidth="1"/>
    <x:col min="7" max="7" width="14" hidden="0" customWidth="1"/>
    <x:col min="8" max="8" width="12" hidden="0" customWidth="1"/>
    <x:col min="9" max="9" width="15" hidden="0" customWidth="1"/>
    <x:col min="10" max="10" width="23" hidden="0" customWidth="1"/>
    <x:col min="11" max="11" width="14" hidden="0" customWidth="1"/>
    <x:col min="12" max="12" width="12" hidden="0" customWidth="1"/>
    <x:col min="13" max="13" width="18" hidden="0" customWidth="1"/>
    <x:col min="14" max="14" width="15" hidden="0" customWidth="1"/>
    <x:col min="15" max="15" width="19" hidden="0" customWidth="1"/>
    <x:col min="16" max="16" width="34" hidden="0" customWidth="1"/>
    <x:col min="17" max="17" width="16" hidden="0" customWidth="1"/>
  </x:cols>
  <x:sheetData>
    <x:row r="1" ht="36" customHeight="1">
      <x:c r="A1" s="34" t="str">
        <x:v>LANE EQUIPMENT FAULT REGISTER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34"/>
    </x:row>
    <x:row r="2" ht="26" customHeight="1">
      <x:c r="A2" s="35" t="str">
        <x:v>Enter information in blue-font cells. SI No., Downtime and Ticket Status calculate automatically.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</x:row>
    <x:row r="4" ht="25" customHeight="1">
      <x:c r="A4" s="39" t="str">
        <x:v>Record</x:v>
      </x:c>
      <x:c r="B4" s="40" t="str">
        <x:v>Fault Details</x:v>
      </x:c>
      <x:c r="C4" s="40"/>
      <x:c r="D4" s="40"/>
      <x:c r="E4" s="40"/>
      <x:c r="F4" s="40"/>
      <x:c r="G4" s="40" t="str">
        <x:v>Reported Information</x:v>
      </x:c>
      <x:c r="H4" s="40"/>
      <x:c r="I4" s="40"/>
      <x:c r="J4" s="40" t="str">
        <x:v>Corrective Action</x:v>
      </x:c>
      <x:c r="K4" s="40"/>
      <x:c r="L4" s="40"/>
      <x:c r="M4" s="40" t="str">
        <x:v>Resolution &amp; Follow-up</x:v>
      </x:c>
      <x:c r="N4" s="40"/>
      <x:c r="O4" s="40"/>
      <x:c r="P4" s="40"/>
      <x:c r="Q4" s="41"/>
    </x:row>
    <x:row r="5" ht="42" customHeight="1">
      <x:c r="A5" s="52" t="str">
        <x:v>SI No.</x:v>
      </x:c>
      <x:c r="B5" s="53" t="str">
        <x:v>Lane No.</x:v>
      </x:c>
      <x:c r="C5" s="53" t="str">
        <x:v>Fault Type</x:v>
      </x:c>
      <x:c r="D5" s="53" t="str">
        <x:v>Equipment</x:v>
      </x:c>
      <x:c r="E5" s="53" t="str">
        <x:v>Fault Description</x:v>
      </x:c>
      <x:c r="F5" s="53" t="str">
        <x:v>Category</x:v>
      </x:c>
      <x:c r="G5" s="53" t="str">
        <x:v>Reported Date</x:v>
      </x:c>
      <x:c r="H5" s="53" t="str">
        <x:v>Reported Time</x:v>
      </x:c>
      <x:c r="I5" s="53" t="str">
        <x:v>Reported By</x:v>
      </x:c>
      <x:c r="J5" s="53" t="str">
        <x:v>Action Taken</x:v>
      </x:c>
      <x:c r="K5" s="53" t="str">
        <x:v>Resolved Date</x:v>
      </x:c>
      <x:c r="L5" s="53" t="str">
        <x:v>Resolved Time</x:v>
      </x:c>
      <x:c r="M5" s="53" t="str">
        <x:v>Downtime (hh:mm:ss)</x:v>
      </x:c>
      <x:c r="N5" s="53" t="str">
        <x:v>Ticket Status</x:v>
      </x:c>
      <x:c r="O5" s="53" t="str">
        <x:v>Equipment Status</x:v>
      </x:c>
      <x:c r="P5" s="53" t="str">
        <x:v>Remarks</x:v>
      </x:c>
      <x:c r="Q5" s="54" t="str">
        <x:v>Attended By</x:v>
      </x:c>
    </x:row>
    <x:row r="6" ht="24" customHeight="1">
      <x:c r="A6" s="63" t="n">
        <x:f>IF(B6="","",ROW()-5)</x:f>
        <x:v>1</x:v>
      </x:c>
      <x:c r="B6" s="64" t="str">
        <x:v>L09</x:v>
      </x:c>
      <x:c r="C6" s="64" t="str">
        <x:v>HW</x:v>
      </x:c>
      <x:c r="D6" s="64" t="str">
        <x:v>UFD</x:v>
      </x:c>
      <x:c r="E6" s="71" t="str">
        <x:v>UFD Hang</x:v>
      </x:c>
      <x:c r="F6" s="64" t="str">
        <x:v>A+</x:v>
      </x:c>
      <x:c r="G6" s="73" t="n">
        <x:v>46241</x:v>
      </x:c>
      <x:c r="H6" s="75" t="n">
        <x:v>0.6784722222222223</x:v>
      </x:c>
      <x:c r="I6" s="64" t="str">
        <x:v>Suresh</x:v>
      </x:c>
      <x:c r="J6" s="71" t="str">
        <x:v>N/A</x:v>
      </x:c>
      <x:c r="K6" s="73"/>
      <x:c r="L6" s="75"/>
      <x:c r="M6" s="350" t="str">
        <x:f>IF(OR(B6="",G6="",H6=""),"",IF(AND(K6&lt;&gt;"",L6&lt;&gt;""),(K6+L6)-(G6+H6),""))</x:f>
      </x:c>
      <x:c r="N6" s="66" t="str">
        <x:f>IF(B6="","",IF(AND(K6&lt;&gt;"",L6&lt;&gt;""),"Closed","Not Closed"))</x:f>
        <x:v>Not Closed</x:v>
      </x:c>
      <x:c r="O6" s="64" t="str">
        <x:v>OK</x:v>
      </x:c>
      <x:c r="P6" s="71" t="str">
        <x:v>At the time UFD hanged for 1 minute</x:v>
      </x:c>
      <x:c r="Q6" s="64" t="str">
        <x:v>N/A</x:v>
      </x:c>
    </x:row>
    <x:row r="7" ht="24" customHeight="1">
      <x:c r="A7" s="67" t="n">
        <x:f>IF(B7="","",ROW()-5)</x:f>
        <x:v>2</x:v>
      </x:c>
      <x:c r="B7" s="68" t="str">
        <x:v>L08</x:v>
      </x:c>
      <x:c r="C7" s="68" t="str">
        <x:v>HW</x:v>
      </x:c>
      <x:c r="D7" s="68" t="str">
        <x:v>UFD</x:v>
      </x:c>
      <x:c r="E7" s="72" t="str">
        <x:v>UFD Hang</x:v>
      </x:c>
      <x:c r="F7" s="68" t="str">
        <x:v>A+</x:v>
      </x:c>
      <x:c r="G7" s="74" t="n">
        <x:v>46241</x:v>
      </x:c>
      <x:c r="H7" s="76" t="n">
        <x:v>0.6888888888888889</x:v>
      </x:c>
      <x:c r="I7" s="68" t="str">
        <x:v>Suresh</x:v>
      </x:c>
      <x:c r="J7" s="72" t="str">
        <x:v>N/A</x:v>
      </x:c>
      <x:c r="K7" s="74"/>
      <x:c r="L7" s="76"/>
      <x:c r="M7" s="351" t="str">
        <x:f>IF(OR(B7="",G7="",H7=""),"",IF(AND(K7&lt;&gt;"",L7&lt;&gt;""),(K7+L7)-(G7+H7),""))</x:f>
      </x:c>
      <x:c r="N7" s="70" t="str">
        <x:f>IF(B7="","",IF(AND(K7&lt;&gt;"",L7&lt;&gt;""),"Closed","Not Closed"))</x:f>
        <x:v>Not Closed</x:v>
      </x:c>
      <x:c r="O7" s="68" t="str">
        <x:v>OK</x:v>
      </x:c>
      <x:c r="P7" s="72" t="str">
        <x:v>At the time UFD hanged for 1 minute</x:v>
      </x:c>
      <x:c r="Q7" s="68" t="str">
        <x:v>N/A</x:v>
      </x:c>
    </x:row>
    <x:row r="8" ht="24" customHeight="1">
      <x:c r="A8" s="67" t="n">
        <x:f>IF(B8="","",ROW()-5)</x:f>
        <x:v>3</x:v>
      </x:c>
      <x:c r="B8" s="68" t="str">
        <x:v>L01</x:v>
      </x:c>
      <x:c r="C8" s="68" t="str">
        <x:v>HW</x:v>
      </x:c>
      <x:c r="D8" s="68" t="str">
        <x:v>TCM</x:v>
      </x:c>
      <x:c r="E8" s="72" t="str">
        <x:v>System Hanged</x:v>
      </x:c>
      <x:c r="F8" s="68" t="str">
        <x:v>A+</x:v>
      </x:c>
      <x:c r="G8" s="74" t="n">
        <x:v>46241</x:v>
      </x:c>
      <x:c r="H8" s="76" t="n">
        <x:v>0.7027777777777777</x:v>
      </x:c>
      <x:c r="I8" s="68" t="str">
        <x:v>Suresh</x:v>
      </x:c>
      <x:c r="J8" s="72" t="str">
        <x:v>Restart TCM</x:v>
      </x:c>
      <x:c r="K8" s="74" t="n">
        <x:v>46241</x:v>
      </x:c>
      <x:c r="L8" s="76" t="n">
        <x:v>0.7069444444444445</x:v>
      </x:c>
      <x:c r="M8" s="351" t="n">
        <x:f>IF(OR(B8="",G8="",H8=""),"",IF(AND(K8&lt;&gt;"",L8&lt;&gt;""),(K8+L8)-(G8+H8),""))</x:f>
        <x:v>0.004166666665696539</x:v>
      </x:c>
      <x:c r="N8" s="70" t="str">
        <x:f>IF(B8="","",IF(AND(K8&lt;&gt;"",L8&lt;&gt;""),"Closed","Not Closed"))</x:f>
        <x:v>Closed</x:v>
      </x:c>
      <x:c r="O8" s="68" t="str">
        <x:v>OK</x:v>
      </x:c>
      <x:c r="P8" s="72"/>
      <x:c r="Q8" s="68" t="str">
        <x:v>N/A</x:v>
      </x:c>
    </x:row>
    <x:row r="9" ht="24" customHeight="1">
      <x:c r="A9" s="67" t="str">
        <x:f>IF(B9="","",ROW()-5)</x:f>
      </x:c>
      <x:c r="B9" s="68"/>
      <x:c r="C9" s="68"/>
      <x:c r="D9" s="68"/>
      <x:c r="E9" s="72"/>
      <x:c r="F9" s="68"/>
      <x:c r="G9" s="74"/>
      <x:c r="H9" s="76"/>
      <x:c r="I9" s="68"/>
      <x:c r="J9" s="72"/>
      <x:c r="K9" s="74"/>
      <x:c r="L9" s="76"/>
      <x:c r="M9" s="351" t="str">
        <x:f>IF(OR(B9="",G9="",H9=""),"",IF(AND(K9&lt;&gt;"",L9&lt;&gt;""),(K9+L9)-(G9+H9),""))</x:f>
      </x:c>
      <x:c r="N9" s="70" t="str">
        <x:f>IF(B9="","",IF(AND(K9&lt;&gt;"",L9&lt;&gt;""),"Closed","Not Closed"))</x:f>
      </x:c>
      <x:c r="O9" s="68"/>
      <x:c r="P9" s="72"/>
      <x:c r="Q9" s="68"/>
    </x:row>
    <x:row r="10" ht="24" customHeight="1">
      <x:c r="A10" s="67" t="str">
        <x:f>IF(B10="","",ROW()-5)</x:f>
      </x:c>
      <x:c r="B10" s="68"/>
      <x:c r="C10" s="68"/>
      <x:c r="D10" s="68"/>
      <x:c r="E10" s="72"/>
      <x:c r="F10" s="68"/>
      <x:c r="G10" s="74"/>
      <x:c r="H10" s="76"/>
      <x:c r="I10" s="68"/>
      <x:c r="J10" s="72"/>
      <x:c r="K10" s="74"/>
      <x:c r="L10" s="76"/>
      <x:c r="M10" s="351" t="str">
        <x:f>IF(OR(B10="",G10="",H10=""),"",IF(AND(K10&lt;&gt;"",L10&lt;&gt;""),(K10+L10)-(G10+H10),""))</x:f>
      </x:c>
      <x:c r="N10" s="70" t="str">
        <x:f>IF(B10="","",IF(AND(K10&lt;&gt;"",L10&lt;&gt;""),"Closed","Not Closed"))</x:f>
      </x:c>
      <x:c r="O10" s="68"/>
      <x:c r="P10" s="72"/>
      <x:c r="Q10" s="68"/>
    </x:row>
    <x:row r="11" ht="24" customHeight="1">
      <x:c r="A11" s="67" t="str">
        <x:f>IF(B11="","",ROW()-5)</x:f>
      </x:c>
      <x:c r="B11" s="68"/>
      <x:c r="C11" s="68"/>
      <x:c r="D11" s="68"/>
      <x:c r="E11" s="72"/>
      <x:c r="F11" s="68"/>
      <x:c r="G11" s="74"/>
      <x:c r="H11" s="76"/>
      <x:c r="I11" s="68"/>
      <x:c r="J11" s="72"/>
      <x:c r="K11" s="74"/>
      <x:c r="L11" s="76"/>
      <x:c r="M11" s="351" t="str">
        <x:f>IF(OR(B11="",G11="",H11=""),"",IF(AND(K11&lt;&gt;"",L11&lt;&gt;""),(K11+L11)-(G11+H11),""))</x:f>
      </x:c>
      <x:c r="N11" s="70" t="str">
        <x:f>IF(B11="","",IF(AND(K11&lt;&gt;"",L11&lt;&gt;""),"Closed","Not Closed"))</x:f>
      </x:c>
      <x:c r="O11" s="68"/>
      <x:c r="P11" s="72"/>
      <x:c r="Q11" s="68"/>
    </x:row>
    <x:row r="12" ht="24" customHeight="1">
      <x:c r="A12" s="67" t="str">
        <x:f>IF(B12="","",ROW()-5)</x:f>
      </x:c>
      <x:c r="B12" s="68"/>
      <x:c r="C12" s="68"/>
      <x:c r="D12" s="68"/>
      <x:c r="E12" s="72"/>
      <x:c r="F12" s="68"/>
      <x:c r="G12" s="74"/>
      <x:c r="H12" s="76"/>
      <x:c r="I12" s="68"/>
      <x:c r="J12" s="72"/>
      <x:c r="K12" s="74"/>
      <x:c r="L12" s="76"/>
      <x:c r="M12" s="351" t="str">
        <x:f>IF(OR(B12="",G12="",H12=""),"",IF(AND(K12&lt;&gt;"",L12&lt;&gt;""),(K12+L12)-(G12+H12),""))</x:f>
      </x:c>
      <x:c r="N12" s="70" t="str">
        <x:f>IF(B12="","",IF(AND(K12&lt;&gt;"",L12&lt;&gt;""),"Closed","Not Closed"))</x:f>
      </x:c>
      <x:c r="O12" s="68"/>
      <x:c r="P12" s="72"/>
      <x:c r="Q12" s="68"/>
    </x:row>
    <x:row r="13" ht="24" customHeight="1">
      <x:c r="A13" s="67" t="str">
        <x:f>IF(B13="","",ROW()-5)</x:f>
      </x:c>
      <x:c r="B13" s="68"/>
      <x:c r="C13" s="68"/>
      <x:c r="D13" s="68"/>
      <x:c r="E13" s="72"/>
      <x:c r="F13" s="68"/>
      <x:c r="G13" s="74"/>
      <x:c r="H13" s="76"/>
      <x:c r="I13" s="68"/>
      <x:c r="J13" s="72"/>
      <x:c r="K13" s="74"/>
      <x:c r="L13" s="76"/>
      <x:c r="M13" s="351" t="str">
        <x:f>IF(OR(B13="",G13="",H13=""),"",IF(AND(K13&lt;&gt;"",L13&lt;&gt;""),(K13+L13)-(G13+H13),""))</x:f>
      </x:c>
      <x:c r="N13" s="70" t="str">
        <x:f>IF(B13="","",IF(AND(K13&lt;&gt;"",L13&lt;&gt;""),"Closed","Not Closed"))</x:f>
      </x:c>
      <x:c r="O13" s="68"/>
      <x:c r="P13" s="72"/>
      <x:c r="Q13" s="68"/>
    </x:row>
    <x:row r="14" ht="24" customHeight="1">
      <x:c r="A14" s="67" t="str">
        <x:f>IF(B14="","",ROW()-5)</x:f>
      </x:c>
      <x:c r="B14" s="68"/>
      <x:c r="C14" s="68"/>
      <x:c r="D14" s="68"/>
      <x:c r="E14" s="72"/>
      <x:c r="F14" s="68"/>
      <x:c r="G14" s="74"/>
      <x:c r="H14" s="76"/>
      <x:c r="I14" s="68"/>
      <x:c r="J14" s="72"/>
      <x:c r="K14" s="74"/>
      <x:c r="L14" s="76"/>
      <x:c r="M14" s="351" t="str">
        <x:f>IF(OR(B14="",G14="",H14=""),"",IF(AND(K14&lt;&gt;"",L14&lt;&gt;""),(K14+L14)-(G14+H14),""))</x:f>
      </x:c>
      <x:c r="N14" s="70" t="str">
        <x:f>IF(B14="","",IF(AND(K14&lt;&gt;"",L14&lt;&gt;""),"Closed","Not Closed"))</x:f>
      </x:c>
      <x:c r="O14" s="68"/>
      <x:c r="P14" s="72"/>
      <x:c r="Q14" s="68"/>
    </x:row>
    <x:row r="15" ht="24" customHeight="1">
      <x:c r="A15" s="67" t="str">
        <x:f>IF(B15="","",ROW()-5)</x:f>
      </x:c>
      <x:c r="B15" s="68"/>
      <x:c r="C15" s="68"/>
      <x:c r="D15" s="68"/>
      <x:c r="E15" s="72"/>
      <x:c r="F15" s="68"/>
      <x:c r="G15" s="74"/>
      <x:c r="H15" s="76"/>
      <x:c r="I15" s="68"/>
      <x:c r="J15" s="72"/>
      <x:c r="K15" s="74"/>
      <x:c r="L15" s="76"/>
      <x:c r="M15" s="351" t="str">
        <x:f>IF(OR(B15="",G15="",H15=""),"",IF(AND(K15&lt;&gt;"",L15&lt;&gt;""),(K15+L15)-(G15+H15),""))</x:f>
      </x:c>
      <x:c r="N15" s="70" t="str">
        <x:f>IF(B15="","",IF(AND(K15&lt;&gt;"",L15&lt;&gt;""),"Closed","Not Closed"))</x:f>
      </x:c>
      <x:c r="O15" s="68"/>
      <x:c r="P15" s="72"/>
      <x:c r="Q15" s="68"/>
    </x:row>
    <x:row r="16" ht="24" customHeight="1">
      <x:c r="A16" s="67" t="str">
        <x:f>IF(B16="","",ROW()-5)</x:f>
      </x:c>
      <x:c r="B16" s="68"/>
      <x:c r="C16" s="68"/>
      <x:c r="D16" s="68"/>
      <x:c r="E16" s="72"/>
      <x:c r="F16" s="68"/>
      <x:c r="G16" s="74"/>
      <x:c r="H16" s="76"/>
      <x:c r="I16" s="68"/>
      <x:c r="J16" s="72"/>
      <x:c r="K16" s="74"/>
      <x:c r="L16" s="76"/>
      <x:c r="M16" s="351" t="str">
        <x:f>IF(OR(B16="",G16="",H16=""),"",IF(AND(K16&lt;&gt;"",L16&lt;&gt;""),(K16+L16)-(G16+H16),""))</x:f>
      </x:c>
      <x:c r="N16" s="70" t="str">
        <x:f>IF(B16="","",IF(AND(K16&lt;&gt;"",L16&lt;&gt;""),"Closed","Not Closed"))</x:f>
      </x:c>
      <x:c r="O16" s="68"/>
      <x:c r="P16" s="72"/>
      <x:c r="Q16" s="68"/>
    </x:row>
    <x:row r="17" ht="24" customHeight="1">
      <x:c r="A17" s="67" t="str">
        <x:f>IF(B17="","",ROW()-5)</x:f>
      </x:c>
      <x:c r="B17" s="68"/>
      <x:c r="C17" s="68"/>
      <x:c r="D17" s="68"/>
      <x:c r="E17" s="72"/>
      <x:c r="F17" s="68"/>
      <x:c r="G17" s="74"/>
      <x:c r="H17" s="76"/>
      <x:c r="I17" s="68"/>
      <x:c r="J17" s="72"/>
      <x:c r="K17" s="74"/>
      <x:c r="L17" s="76"/>
      <x:c r="M17" s="351" t="str">
        <x:f>IF(OR(B17="",G17="",H17=""),"",IF(AND(K17&lt;&gt;"",L17&lt;&gt;""),(K17+L17)-(G17+H17),""))</x:f>
      </x:c>
      <x:c r="N17" s="70" t="str">
        <x:f>IF(B17="","",IF(AND(K17&lt;&gt;"",L17&lt;&gt;""),"Closed","Not Closed"))</x:f>
      </x:c>
      <x:c r="O17" s="68"/>
      <x:c r="P17" s="72"/>
      <x:c r="Q17" s="68"/>
    </x:row>
    <x:row r="18" ht="24" customHeight="1">
      <x:c r="A18" s="67" t="str">
        <x:f>IF(B18="","",ROW()-5)</x:f>
      </x:c>
      <x:c r="B18" s="68"/>
      <x:c r="C18" s="68"/>
      <x:c r="D18" s="68"/>
      <x:c r="E18" s="72"/>
      <x:c r="F18" s="68"/>
      <x:c r="G18" s="74"/>
      <x:c r="H18" s="76"/>
      <x:c r="I18" s="68"/>
      <x:c r="J18" s="72"/>
      <x:c r="K18" s="74"/>
      <x:c r="L18" s="76"/>
      <x:c r="M18" s="351" t="str">
        <x:f>IF(OR(B18="",G18="",H18=""),"",IF(AND(K18&lt;&gt;"",L18&lt;&gt;""),(K18+L18)-(G18+H18),""))</x:f>
      </x:c>
      <x:c r="N18" s="70" t="str">
        <x:f>IF(B18="","",IF(AND(K18&lt;&gt;"",L18&lt;&gt;""),"Closed","Not Closed"))</x:f>
      </x:c>
      <x:c r="O18" s="68"/>
      <x:c r="P18" s="72"/>
      <x:c r="Q18" s="68"/>
    </x:row>
    <x:row r="19" ht="24" customHeight="1">
      <x:c r="A19" s="67" t="str">
        <x:f>IF(B19="","",ROW()-5)</x:f>
      </x:c>
      <x:c r="B19" s="68"/>
      <x:c r="C19" s="68"/>
      <x:c r="D19" s="68"/>
      <x:c r="E19" s="72"/>
      <x:c r="F19" s="68"/>
      <x:c r="G19" s="74"/>
      <x:c r="H19" s="76"/>
      <x:c r="I19" s="68"/>
      <x:c r="J19" s="72"/>
      <x:c r="K19" s="74"/>
      <x:c r="L19" s="76"/>
      <x:c r="M19" s="351" t="str">
        <x:f>IF(OR(B19="",G19="",H19=""),"",IF(AND(K19&lt;&gt;"",L19&lt;&gt;""),(K19+L19)-(G19+H19),""))</x:f>
      </x:c>
      <x:c r="N19" s="70" t="str">
        <x:f>IF(B19="","",IF(AND(K19&lt;&gt;"",L19&lt;&gt;""),"Closed","Not Closed"))</x:f>
      </x:c>
      <x:c r="O19" s="68"/>
      <x:c r="P19" s="72"/>
      <x:c r="Q19" s="68"/>
    </x:row>
    <x:row r="20" ht="24" customHeight="1">
      <x:c r="A20" s="67" t="str">
        <x:f>IF(B20="","",ROW()-5)</x:f>
      </x:c>
      <x:c r="B20" s="68"/>
      <x:c r="C20" s="68"/>
      <x:c r="D20" s="68"/>
      <x:c r="E20" s="72"/>
      <x:c r="F20" s="68"/>
      <x:c r="G20" s="74"/>
      <x:c r="H20" s="76"/>
      <x:c r="I20" s="68"/>
      <x:c r="J20" s="72"/>
      <x:c r="K20" s="74"/>
      <x:c r="L20" s="76"/>
      <x:c r="M20" s="351" t="str">
        <x:f>IF(OR(B20="",G20="",H20=""),"",IF(AND(K20&lt;&gt;"",L20&lt;&gt;""),(K20+L20)-(G20+H20),""))</x:f>
      </x:c>
      <x:c r="N20" s="70" t="str">
        <x:f>IF(B20="","",IF(AND(K20&lt;&gt;"",L20&lt;&gt;""),"Closed","Not Closed"))</x:f>
      </x:c>
      <x:c r="O20" s="68"/>
      <x:c r="P20" s="72"/>
      <x:c r="Q20" s="68"/>
    </x:row>
    <x:row r="21" ht="24" customHeight="1">
      <x:c r="A21" s="67" t="str">
        <x:f>IF(B21="","",ROW()-5)</x:f>
      </x:c>
      <x:c r="B21" s="68"/>
      <x:c r="C21" s="68"/>
      <x:c r="D21" s="68"/>
      <x:c r="E21" s="72"/>
      <x:c r="F21" s="68"/>
      <x:c r="G21" s="74"/>
      <x:c r="H21" s="76"/>
      <x:c r="I21" s="68"/>
      <x:c r="J21" s="72"/>
      <x:c r="K21" s="74"/>
      <x:c r="L21" s="76"/>
      <x:c r="M21" s="351" t="str">
        <x:f>IF(OR(B21="",G21="",H21=""),"",IF(AND(K21&lt;&gt;"",L21&lt;&gt;""),(K21+L21)-(G21+H21),""))</x:f>
      </x:c>
      <x:c r="N21" s="70" t="str">
        <x:f>IF(B21="","",IF(AND(K21&lt;&gt;"",L21&lt;&gt;""),"Closed","Not Closed"))</x:f>
      </x:c>
      <x:c r="O21" s="68"/>
      <x:c r="P21" s="72"/>
      <x:c r="Q21" s="68"/>
    </x:row>
    <x:row r="22" ht="24" customHeight="1">
      <x:c r="A22" s="67" t="str">
        <x:f>IF(B22="","",ROW()-5)</x:f>
      </x:c>
      <x:c r="B22" s="68"/>
      <x:c r="C22" s="68"/>
      <x:c r="D22" s="68"/>
      <x:c r="E22" s="72"/>
      <x:c r="F22" s="68"/>
      <x:c r="G22" s="74"/>
      <x:c r="H22" s="76"/>
      <x:c r="I22" s="68"/>
      <x:c r="J22" s="72"/>
      <x:c r="K22" s="74"/>
      <x:c r="L22" s="76"/>
      <x:c r="M22" s="351" t="str">
        <x:f>IF(OR(B22="",G22="",H22=""),"",IF(AND(K22&lt;&gt;"",L22&lt;&gt;""),(K22+L22)-(G22+H22),""))</x:f>
      </x:c>
      <x:c r="N22" s="70" t="str">
        <x:f>IF(B22="","",IF(AND(K22&lt;&gt;"",L22&lt;&gt;""),"Closed","Not Closed"))</x:f>
      </x:c>
      <x:c r="O22" s="68"/>
      <x:c r="P22" s="72"/>
      <x:c r="Q22" s="68"/>
    </x:row>
    <x:row r="23" ht="24" customHeight="1">
      <x:c r="A23" s="67" t="str">
        <x:f>IF(B23="","",ROW()-5)</x:f>
      </x:c>
      <x:c r="B23" s="68"/>
      <x:c r="C23" s="68"/>
      <x:c r="D23" s="68"/>
      <x:c r="E23" s="72"/>
      <x:c r="F23" s="68"/>
      <x:c r="G23" s="74"/>
      <x:c r="H23" s="76"/>
      <x:c r="I23" s="68"/>
      <x:c r="J23" s="72"/>
      <x:c r="K23" s="74"/>
      <x:c r="L23" s="76"/>
      <x:c r="M23" s="351" t="str">
        <x:f>IF(OR(B23="",G23="",H23=""),"",IF(AND(K23&lt;&gt;"",L23&lt;&gt;""),(K23+L23)-(G23+H23),""))</x:f>
      </x:c>
      <x:c r="N23" s="70" t="str">
        <x:f>IF(B23="","",IF(AND(K23&lt;&gt;"",L23&lt;&gt;""),"Closed","Not Closed"))</x:f>
      </x:c>
      <x:c r="O23" s="68"/>
      <x:c r="P23" s="72"/>
      <x:c r="Q23" s="68"/>
    </x:row>
    <x:row r="24" ht="24" customHeight="1">
      <x:c r="A24" s="67" t="str">
        <x:f>IF(B24="","",ROW()-5)</x:f>
      </x:c>
      <x:c r="B24" s="68"/>
      <x:c r="C24" s="68"/>
      <x:c r="D24" s="68"/>
      <x:c r="E24" s="72"/>
      <x:c r="F24" s="68"/>
      <x:c r="G24" s="74"/>
      <x:c r="H24" s="76"/>
      <x:c r="I24" s="68"/>
      <x:c r="J24" s="72"/>
      <x:c r="K24" s="74"/>
      <x:c r="L24" s="76"/>
      <x:c r="M24" s="351" t="str">
        <x:f>IF(OR(B24="",G24="",H24=""),"",IF(AND(K24&lt;&gt;"",L24&lt;&gt;""),(K24+L24)-(G24+H24),""))</x:f>
      </x:c>
      <x:c r="N24" s="70" t="str">
        <x:f>IF(B24="","",IF(AND(K24&lt;&gt;"",L24&lt;&gt;""),"Closed","Not Closed"))</x:f>
      </x:c>
      <x:c r="O24" s="68"/>
      <x:c r="P24" s="72"/>
      <x:c r="Q24" s="68"/>
    </x:row>
    <x:row r="25" ht="24" customHeight="1">
      <x:c r="A25" s="67" t="str">
        <x:f>IF(B25="","",ROW()-5)</x:f>
      </x:c>
      <x:c r="B25" s="68"/>
      <x:c r="C25" s="68"/>
      <x:c r="D25" s="68"/>
      <x:c r="E25" s="72"/>
      <x:c r="F25" s="68"/>
      <x:c r="G25" s="74"/>
      <x:c r="H25" s="76"/>
      <x:c r="I25" s="68"/>
      <x:c r="J25" s="72"/>
      <x:c r="K25" s="74"/>
      <x:c r="L25" s="76"/>
      <x:c r="M25" s="351" t="str">
        <x:f>IF(OR(B25="",G25="",H25=""),"",IF(AND(K25&lt;&gt;"",L25&lt;&gt;""),(K25+L25)-(G25+H25),""))</x:f>
      </x:c>
      <x:c r="N25" s="70" t="str">
        <x:f>IF(B25="","",IF(AND(K25&lt;&gt;"",L25&lt;&gt;""),"Closed","Not Closed"))</x:f>
      </x:c>
      <x:c r="O25" s="68"/>
      <x:c r="P25" s="72"/>
      <x:c r="Q25" s="68"/>
    </x:row>
    <x:row r="26" ht="24" customHeight="1">
      <x:c r="A26" s="67" t="str">
        <x:f>IF(B26="","",ROW()-5)</x:f>
      </x:c>
      <x:c r="B26" s="68"/>
      <x:c r="C26" s="68"/>
      <x:c r="D26" s="68"/>
      <x:c r="E26" s="72"/>
      <x:c r="F26" s="68"/>
      <x:c r="G26" s="74"/>
      <x:c r="H26" s="76"/>
      <x:c r="I26" s="68"/>
      <x:c r="J26" s="72"/>
      <x:c r="K26" s="74"/>
      <x:c r="L26" s="76"/>
      <x:c r="M26" s="351" t="str">
        <x:f>IF(OR(B26="",G26="",H26=""),"",IF(AND(K26&lt;&gt;"",L26&lt;&gt;""),(K26+L26)-(G26+H26),""))</x:f>
      </x:c>
      <x:c r="N26" s="70" t="str">
        <x:f>IF(B26="","",IF(AND(K26&lt;&gt;"",L26&lt;&gt;""),"Closed","Not Closed"))</x:f>
      </x:c>
      <x:c r="O26" s="68"/>
      <x:c r="P26" s="72"/>
      <x:c r="Q26" s="68"/>
    </x:row>
    <x:row r="27" ht="24" customHeight="1">
      <x:c r="A27" s="67" t="str">
        <x:f>IF(B27="","",ROW()-5)</x:f>
      </x:c>
      <x:c r="B27" s="68"/>
      <x:c r="C27" s="68"/>
      <x:c r="D27" s="68"/>
      <x:c r="E27" s="72"/>
      <x:c r="F27" s="68"/>
      <x:c r="G27" s="74"/>
      <x:c r="H27" s="76"/>
      <x:c r="I27" s="68"/>
      <x:c r="J27" s="72"/>
      <x:c r="K27" s="74"/>
      <x:c r="L27" s="76"/>
      <x:c r="M27" s="351" t="str">
        <x:f>IF(OR(B27="",G27="",H27=""),"",IF(AND(K27&lt;&gt;"",L27&lt;&gt;""),(K27+L27)-(G27+H27),""))</x:f>
      </x:c>
      <x:c r="N27" s="70" t="str">
        <x:f>IF(B27="","",IF(AND(K27&lt;&gt;"",L27&lt;&gt;""),"Closed","Not Closed"))</x:f>
      </x:c>
      <x:c r="O27" s="68"/>
      <x:c r="P27" s="72"/>
      <x:c r="Q27" s="68"/>
    </x:row>
    <x:row r="28" ht="24" customHeight="1">
      <x:c r="A28" s="67" t="str">
        <x:f>IF(B28="","",ROW()-5)</x:f>
      </x:c>
      <x:c r="B28" s="68"/>
      <x:c r="C28" s="68"/>
      <x:c r="D28" s="68"/>
      <x:c r="E28" s="72"/>
      <x:c r="F28" s="68"/>
      <x:c r="G28" s="74"/>
      <x:c r="H28" s="76"/>
      <x:c r="I28" s="68"/>
      <x:c r="J28" s="72"/>
      <x:c r="K28" s="74"/>
      <x:c r="L28" s="76"/>
      <x:c r="M28" s="351" t="str">
        <x:f>IF(OR(B28="",G28="",H28=""),"",IF(AND(K28&lt;&gt;"",L28&lt;&gt;""),(K28+L28)-(G28+H28),""))</x:f>
      </x:c>
      <x:c r="N28" s="70" t="str">
        <x:f>IF(B28="","",IF(AND(K28&lt;&gt;"",L28&lt;&gt;""),"Closed","Not Closed"))</x:f>
      </x:c>
      <x:c r="O28" s="68"/>
      <x:c r="P28" s="72"/>
      <x:c r="Q28" s="68"/>
    </x:row>
    <x:row r="29" ht="24" customHeight="1">
      <x:c r="A29" s="67" t="str">
        <x:f>IF(B29="","",ROW()-5)</x:f>
      </x:c>
      <x:c r="B29" s="68"/>
      <x:c r="C29" s="68"/>
      <x:c r="D29" s="68"/>
      <x:c r="E29" s="72"/>
      <x:c r="F29" s="68"/>
      <x:c r="G29" s="74"/>
      <x:c r="H29" s="76"/>
      <x:c r="I29" s="68"/>
      <x:c r="J29" s="72"/>
      <x:c r="K29" s="74"/>
      <x:c r="L29" s="76"/>
      <x:c r="M29" s="351" t="str">
        <x:f>IF(OR(B29="",G29="",H29=""),"",IF(AND(K29&lt;&gt;"",L29&lt;&gt;""),(K29+L29)-(G29+H29),""))</x:f>
      </x:c>
      <x:c r="N29" s="70" t="str">
        <x:f>IF(B29="","",IF(AND(K29&lt;&gt;"",L29&lt;&gt;""),"Closed","Not Closed"))</x:f>
      </x:c>
      <x:c r="O29" s="68"/>
      <x:c r="P29" s="72"/>
      <x:c r="Q29" s="68"/>
    </x:row>
    <x:row r="30" ht="24" customHeight="1">
      <x:c r="A30" s="67" t="str">
        <x:f>IF(B30="","",ROW()-5)</x:f>
      </x:c>
      <x:c r="B30" s="68"/>
      <x:c r="C30" s="68"/>
      <x:c r="D30" s="68"/>
      <x:c r="E30" s="72"/>
      <x:c r="F30" s="68"/>
      <x:c r="G30" s="74"/>
      <x:c r="H30" s="76"/>
      <x:c r="I30" s="68"/>
      <x:c r="J30" s="72"/>
      <x:c r="K30" s="74"/>
      <x:c r="L30" s="76"/>
      <x:c r="M30" s="351" t="str">
        <x:f>IF(OR(B30="",G30="",H30=""),"",IF(AND(K30&lt;&gt;"",L30&lt;&gt;""),(K30+L30)-(G30+H30),""))</x:f>
      </x:c>
      <x:c r="N30" s="70" t="str">
        <x:f>IF(B30="","",IF(AND(K30&lt;&gt;"",L30&lt;&gt;""),"Closed","Not Closed"))</x:f>
      </x:c>
      <x:c r="O30" s="68"/>
      <x:c r="P30" s="72"/>
      <x:c r="Q30" s="68"/>
    </x:row>
    <x:row r="31" ht="24" customHeight="1">
      <x:c r="A31" s="67" t="str">
        <x:f>IF(B31="","",ROW()-5)</x:f>
      </x:c>
      <x:c r="B31" s="68"/>
      <x:c r="C31" s="68"/>
      <x:c r="D31" s="68"/>
      <x:c r="E31" s="72"/>
      <x:c r="F31" s="68"/>
      <x:c r="G31" s="74"/>
      <x:c r="H31" s="76"/>
      <x:c r="I31" s="68"/>
      <x:c r="J31" s="72"/>
      <x:c r="K31" s="74"/>
      <x:c r="L31" s="76"/>
      <x:c r="M31" s="351" t="str">
        <x:f>IF(OR(B31="",G31="",H31=""),"",IF(AND(K31&lt;&gt;"",L31&lt;&gt;""),(K31+L31)-(G31+H31),""))</x:f>
      </x:c>
      <x:c r="N31" s="70" t="str">
        <x:f>IF(B31="","",IF(AND(K31&lt;&gt;"",L31&lt;&gt;""),"Closed","Not Closed"))</x:f>
      </x:c>
      <x:c r="O31" s="68"/>
      <x:c r="P31" s="72"/>
      <x:c r="Q31" s="68"/>
    </x:row>
    <x:row r="32" ht="24" customHeight="1">
      <x:c r="A32" s="67" t="str">
        <x:f>IF(B32="","",ROW()-5)</x:f>
      </x:c>
      <x:c r="B32" s="68"/>
      <x:c r="C32" s="68"/>
      <x:c r="D32" s="68"/>
      <x:c r="E32" s="72"/>
      <x:c r="F32" s="68"/>
      <x:c r="G32" s="74"/>
      <x:c r="H32" s="76"/>
      <x:c r="I32" s="68"/>
      <x:c r="J32" s="72"/>
      <x:c r="K32" s="74"/>
      <x:c r="L32" s="76"/>
      <x:c r="M32" s="351" t="str">
        <x:f>IF(OR(B32="",G32="",H32=""),"",IF(AND(K32&lt;&gt;"",L32&lt;&gt;""),(K32+L32)-(G32+H32),""))</x:f>
      </x:c>
      <x:c r="N32" s="70" t="str">
        <x:f>IF(B32="","",IF(AND(K32&lt;&gt;"",L32&lt;&gt;""),"Closed","Not Closed"))</x:f>
      </x:c>
      <x:c r="O32" s="68"/>
      <x:c r="P32" s="72"/>
      <x:c r="Q32" s="68"/>
    </x:row>
    <x:row r="33" ht="24" customHeight="1">
      <x:c r="A33" s="67" t="str">
        <x:f>IF(B33="","",ROW()-5)</x:f>
      </x:c>
      <x:c r="B33" s="68"/>
      <x:c r="C33" s="68"/>
      <x:c r="D33" s="68"/>
      <x:c r="E33" s="72"/>
      <x:c r="F33" s="68"/>
      <x:c r="G33" s="74"/>
      <x:c r="H33" s="76"/>
      <x:c r="I33" s="68"/>
      <x:c r="J33" s="72"/>
      <x:c r="K33" s="74"/>
      <x:c r="L33" s="76"/>
      <x:c r="M33" s="351" t="str">
        <x:f>IF(OR(B33="",G33="",H33=""),"",IF(AND(K33&lt;&gt;"",L33&lt;&gt;""),(K33+L33)-(G33+H33),""))</x:f>
      </x:c>
      <x:c r="N33" s="70" t="str">
        <x:f>IF(B33="","",IF(AND(K33&lt;&gt;"",L33&lt;&gt;""),"Closed","Not Closed"))</x:f>
      </x:c>
      <x:c r="O33" s="68"/>
      <x:c r="P33" s="72"/>
      <x:c r="Q33" s="68"/>
    </x:row>
    <x:row r="34" ht="24" customHeight="1">
      <x:c r="A34" s="67" t="str">
        <x:f>IF(B34="","",ROW()-5)</x:f>
      </x:c>
      <x:c r="B34" s="68"/>
      <x:c r="C34" s="68"/>
      <x:c r="D34" s="68"/>
      <x:c r="E34" s="72"/>
      <x:c r="F34" s="68"/>
      <x:c r="G34" s="74"/>
      <x:c r="H34" s="76"/>
      <x:c r="I34" s="68"/>
      <x:c r="J34" s="72"/>
      <x:c r="K34" s="74"/>
      <x:c r="L34" s="76"/>
      <x:c r="M34" s="351" t="str">
        <x:f>IF(OR(B34="",G34="",H34=""),"",IF(AND(K34&lt;&gt;"",L34&lt;&gt;""),(K34+L34)-(G34+H34),""))</x:f>
      </x:c>
      <x:c r="N34" s="70" t="str">
        <x:f>IF(B34="","",IF(AND(K34&lt;&gt;"",L34&lt;&gt;""),"Closed","Not Closed"))</x:f>
      </x:c>
      <x:c r="O34" s="68"/>
      <x:c r="P34" s="72"/>
      <x:c r="Q34" s="68"/>
    </x:row>
    <x:row r="35" ht="24" customHeight="1">
      <x:c r="A35" s="67" t="str">
        <x:f>IF(B35="","",ROW()-5)</x:f>
      </x:c>
      <x:c r="B35" s="68"/>
      <x:c r="C35" s="68"/>
      <x:c r="D35" s="68"/>
      <x:c r="E35" s="72"/>
      <x:c r="F35" s="68"/>
      <x:c r="G35" s="74"/>
      <x:c r="H35" s="76"/>
      <x:c r="I35" s="68"/>
      <x:c r="J35" s="72"/>
      <x:c r="K35" s="74"/>
      <x:c r="L35" s="76"/>
      <x:c r="M35" s="351" t="str">
        <x:f>IF(OR(B35="",G35="",H35=""),"",IF(AND(K35&lt;&gt;"",L35&lt;&gt;""),(K35+L35)-(G35+H35),""))</x:f>
      </x:c>
      <x:c r="N35" s="70" t="str">
        <x:f>IF(B35="","",IF(AND(K35&lt;&gt;"",L35&lt;&gt;""),"Closed","Not Closed"))</x:f>
      </x:c>
      <x:c r="O35" s="68"/>
      <x:c r="P35" s="72"/>
      <x:c r="Q35" s="68"/>
    </x:row>
    <x:row r="36" ht="24" customHeight="1">
      <x:c r="A36" s="67" t="str">
        <x:f>IF(B36="","",ROW()-5)</x:f>
      </x:c>
      <x:c r="B36" s="68"/>
      <x:c r="C36" s="68"/>
      <x:c r="D36" s="68"/>
      <x:c r="E36" s="72"/>
      <x:c r="F36" s="68"/>
      <x:c r="G36" s="74"/>
      <x:c r="H36" s="76"/>
      <x:c r="I36" s="68"/>
      <x:c r="J36" s="72"/>
      <x:c r="K36" s="74"/>
      <x:c r="L36" s="76"/>
      <x:c r="M36" s="351" t="str">
        <x:f>IF(OR(B36="",G36="",H36=""),"",IF(AND(K36&lt;&gt;"",L36&lt;&gt;""),(K36+L36)-(G36+H36),""))</x:f>
      </x:c>
      <x:c r="N36" s="70" t="str">
        <x:f>IF(B36="","",IF(AND(K36&lt;&gt;"",L36&lt;&gt;""),"Closed","Not Closed"))</x:f>
      </x:c>
      <x:c r="O36" s="68"/>
      <x:c r="P36" s="72"/>
      <x:c r="Q36" s="68"/>
    </x:row>
    <x:row r="37" ht="24" customHeight="1">
      <x:c r="A37" s="67" t="str">
        <x:f>IF(B37="","",ROW()-5)</x:f>
      </x:c>
      <x:c r="B37" s="68"/>
      <x:c r="C37" s="68"/>
      <x:c r="D37" s="68"/>
      <x:c r="E37" s="72"/>
      <x:c r="F37" s="68"/>
      <x:c r="G37" s="74"/>
      <x:c r="H37" s="76"/>
      <x:c r="I37" s="68"/>
      <x:c r="J37" s="72"/>
      <x:c r="K37" s="74"/>
      <x:c r="L37" s="76"/>
      <x:c r="M37" s="351" t="str">
        <x:f>IF(OR(B37="",G37="",H37=""),"",IF(AND(K37&lt;&gt;"",L37&lt;&gt;""),(K37+L37)-(G37+H37),""))</x:f>
      </x:c>
      <x:c r="N37" s="70" t="str">
        <x:f>IF(B37="","",IF(AND(K37&lt;&gt;"",L37&lt;&gt;""),"Closed","Not Closed"))</x:f>
      </x:c>
      <x:c r="O37" s="68"/>
      <x:c r="P37" s="72"/>
      <x:c r="Q37" s="68"/>
    </x:row>
    <x:row r="38" ht="24" customHeight="1">
      <x:c r="A38" s="67" t="str">
        <x:f>IF(B38="","",ROW()-5)</x:f>
      </x:c>
      <x:c r="B38" s="68"/>
      <x:c r="C38" s="68"/>
      <x:c r="D38" s="68"/>
      <x:c r="E38" s="72"/>
      <x:c r="F38" s="68"/>
      <x:c r="G38" s="74"/>
      <x:c r="H38" s="76"/>
      <x:c r="I38" s="68"/>
      <x:c r="J38" s="72"/>
      <x:c r="K38" s="74"/>
      <x:c r="L38" s="76"/>
      <x:c r="M38" s="351" t="str">
        <x:f>IF(OR(B38="",G38="",H38=""),"",IF(AND(K38&lt;&gt;"",L38&lt;&gt;""),(K38+L38)-(G38+H38),""))</x:f>
      </x:c>
      <x:c r="N38" s="70" t="str">
        <x:f>IF(B38="","",IF(AND(K38&lt;&gt;"",L38&lt;&gt;""),"Closed","Not Closed"))</x:f>
      </x:c>
      <x:c r="O38" s="68"/>
      <x:c r="P38" s="72"/>
      <x:c r="Q38" s="68"/>
    </x:row>
    <x:row r="39" ht="24" customHeight="1">
      <x:c r="A39" s="67" t="str">
        <x:f>IF(B39="","",ROW()-5)</x:f>
      </x:c>
      <x:c r="B39" s="68"/>
      <x:c r="C39" s="68"/>
      <x:c r="D39" s="68"/>
      <x:c r="E39" s="72"/>
      <x:c r="F39" s="68"/>
      <x:c r="G39" s="74"/>
      <x:c r="H39" s="76"/>
      <x:c r="I39" s="68"/>
      <x:c r="J39" s="72"/>
      <x:c r="K39" s="74"/>
      <x:c r="L39" s="76"/>
      <x:c r="M39" s="351" t="str">
        <x:f>IF(OR(B39="",G39="",H39=""),"",IF(AND(K39&lt;&gt;"",L39&lt;&gt;""),(K39+L39)-(G39+H39),""))</x:f>
      </x:c>
      <x:c r="N39" s="70" t="str">
        <x:f>IF(B39="","",IF(AND(K39&lt;&gt;"",L39&lt;&gt;""),"Closed","Not Closed"))</x:f>
      </x:c>
      <x:c r="O39" s="68"/>
      <x:c r="P39" s="72"/>
      <x:c r="Q39" s="68"/>
    </x:row>
    <x:row r="40" ht="24" customHeight="1">
      <x:c r="A40" s="67" t="str">
        <x:f>IF(B40="","",ROW()-5)</x:f>
      </x:c>
      <x:c r="B40" s="68"/>
      <x:c r="C40" s="68"/>
      <x:c r="D40" s="68"/>
      <x:c r="E40" s="72"/>
      <x:c r="F40" s="68"/>
      <x:c r="G40" s="74"/>
      <x:c r="H40" s="76"/>
      <x:c r="I40" s="68"/>
      <x:c r="J40" s="72"/>
      <x:c r="K40" s="74"/>
      <x:c r="L40" s="76"/>
      <x:c r="M40" s="351" t="str">
        <x:f>IF(OR(B40="",G40="",H40=""),"",IF(AND(K40&lt;&gt;"",L40&lt;&gt;""),(K40+L40)-(G40+H40),""))</x:f>
      </x:c>
      <x:c r="N40" s="70" t="str">
        <x:f>IF(B40="","",IF(AND(K40&lt;&gt;"",L40&lt;&gt;""),"Closed","Not Closed"))</x:f>
      </x:c>
      <x:c r="O40" s="68"/>
      <x:c r="P40" s="72"/>
      <x:c r="Q40" s="68"/>
    </x:row>
    <x:row r="41" ht="24" customHeight="1">
      <x:c r="A41" s="67" t="str">
        <x:f>IF(B41="","",ROW()-5)</x:f>
      </x:c>
      <x:c r="B41" s="68"/>
      <x:c r="C41" s="68"/>
      <x:c r="D41" s="68"/>
      <x:c r="E41" s="72"/>
      <x:c r="F41" s="68"/>
      <x:c r="G41" s="74"/>
      <x:c r="H41" s="76"/>
      <x:c r="I41" s="68"/>
      <x:c r="J41" s="72"/>
      <x:c r="K41" s="74"/>
      <x:c r="L41" s="76"/>
      <x:c r="M41" s="351" t="str">
        <x:f>IF(OR(B41="",G41="",H41=""),"",IF(AND(K41&lt;&gt;"",L41&lt;&gt;""),(K41+L41)-(G41+H41),""))</x:f>
      </x:c>
      <x:c r="N41" s="70" t="str">
        <x:f>IF(B41="","",IF(AND(K41&lt;&gt;"",L41&lt;&gt;""),"Closed","Not Closed"))</x:f>
      </x:c>
      <x:c r="O41" s="68"/>
      <x:c r="P41" s="72"/>
      <x:c r="Q41" s="68"/>
    </x:row>
    <x:row r="42" ht="24" customHeight="1">
      <x:c r="A42" s="67" t="str">
        <x:f>IF(B42="","",ROW()-5)</x:f>
      </x:c>
      <x:c r="B42" s="68"/>
      <x:c r="C42" s="68"/>
      <x:c r="D42" s="68"/>
      <x:c r="E42" s="72"/>
      <x:c r="F42" s="68"/>
      <x:c r="G42" s="74"/>
      <x:c r="H42" s="76"/>
      <x:c r="I42" s="68"/>
      <x:c r="J42" s="72"/>
      <x:c r="K42" s="74"/>
      <x:c r="L42" s="76"/>
      <x:c r="M42" s="351" t="str">
        <x:f>IF(OR(B42="",G42="",H42=""),"",IF(AND(K42&lt;&gt;"",L42&lt;&gt;""),(K42+L42)-(G42+H42),""))</x:f>
      </x:c>
      <x:c r="N42" s="70" t="str">
        <x:f>IF(B42="","",IF(AND(K42&lt;&gt;"",L42&lt;&gt;""),"Closed","Not Closed"))</x:f>
      </x:c>
      <x:c r="O42" s="68"/>
      <x:c r="P42" s="72"/>
      <x:c r="Q42" s="68"/>
    </x:row>
    <x:row r="43" ht="24" customHeight="1">
      <x:c r="A43" s="67" t="str">
        <x:f>IF(B43="","",ROW()-5)</x:f>
      </x:c>
      <x:c r="B43" s="68"/>
      <x:c r="C43" s="68"/>
      <x:c r="D43" s="68"/>
      <x:c r="E43" s="72"/>
      <x:c r="F43" s="68"/>
      <x:c r="G43" s="74"/>
      <x:c r="H43" s="76"/>
      <x:c r="I43" s="68"/>
      <x:c r="J43" s="72"/>
      <x:c r="K43" s="74"/>
      <x:c r="L43" s="76"/>
      <x:c r="M43" s="351" t="str">
        <x:f>IF(OR(B43="",G43="",H43=""),"",IF(AND(K43&lt;&gt;"",L43&lt;&gt;""),(K43+L43)-(G43+H43),""))</x:f>
      </x:c>
      <x:c r="N43" s="70" t="str">
        <x:f>IF(B43="","",IF(AND(K43&lt;&gt;"",L43&lt;&gt;""),"Closed","Not Closed"))</x:f>
      </x:c>
      <x:c r="O43" s="68"/>
      <x:c r="P43" s="72"/>
      <x:c r="Q43" s="68"/>
    </x:row>
    <x:row r="44" ht="24" customHeight="1">
      <x:c r="A44" s="67" t="str">
        <x:f>IF(B44="","",ROW()-5)</x:f>
      </x:c>
      <x:c r="B44" s="68"/>
      <x:c r="C44" s="68"/>
      <x:c r="D44" s="68"/>
      <x:c r="E44" s="72"/>
      <x:c r="F44" s="68"/>
      <x:c r="G44" s="74"/>
      <x:c r="H44" s="76"/>
      <x:c r="I44" s="68"/>
      <x:c r="J44" s="72"/>
      <x:c r="K44" s="74"/>
      <x:c r="L44" s="76"/>
      <x:c r="M44" s="351" t="str">
        <x:f>IF(OR(B44="",G44="",H44=""),"",IF(AND(K44&lt;&gt;"",L44&lt;&gt;""),(K44+L44)-(G44+H44),""))</x:f>
      </x:c>
      <x:c r="N44" s="70" t="str">
        <x:f>IF(B44="","",IF(AND(K44&lt;&gt;"",L44&lt;&gt;""),"Closed","Not Closed"))</x:f>
      </x:c>
      <x:c r="O44" s="68"/>
      <x:c r="P44" s="72"/>
      <x:c r="Q44" s="68"/>
    </x:row>
    <x:row r="45" ht="24" customHeight="1">
      <x:c r="A45" s="67" t="str">
        <x:f>IF(B45="","",ROW()-5)</x:f>
      </x:c>
      <x:c r="B45" s="68"/>
      <x:c r="C45" s="68"/>
      <x:c r="D45" s="68"/>
      <x:c r="E45" s="72"/>
      <x:c r="F45" s="68"/>
      <x:c r="G45" s="74"/>
      <x:c r="H45" s="76"/>
      <x:c r="I45" s="68"/>
      <x:c r="J45" s="72"/>
      <x:c r="K45" s="74"/>
      <x:c r="L45" s="76"/>
      <x:c r="M45" s="351" t="str">
        <x:f>IF(OR(B45="",G45="",H45=""),"",IF(AND(K45&lt;&gt;"",L45&lt;&gt;""),(K45+L45)-(G45+H45),""))</x:f>
      </x:c>
      <x:c r="N45" s="70" t="str">
        <x:f>IF(B45="","",IF(AND(K45&lt;&gt;"",L45&lt;&gt;""),"Closed","Not Closed"))</x:f>
      </x:c>
      <x:c r="O45" s="68"/>
      <x:c r="P45" s="72"/>
      <x:c r="Q45" s="68"/>
    </x:row>
    <x:row r="46" ht="24" customHeight="1">
      <x:c r="A46" s="67" t="str">
        <x:f>IF(B46="","",ROW()-5)</x:f>
      </x:c>
      <x:c r="B46" s="68"/>
      <x:c r="C46" s="68"/>
      <x:c r="D46" s="68"/>
      <x:c r="E46" s="72"/>
      <x:c r="F46" s="68"/>
      <x:c r="G46" s="74"/>
      <x:c r="H46" s="76"/>
      <x:c r="I46" s="68"/>
      <x:c r="J46" s="72"/>
      <x:c r="K46" s="74"/>
      <x:c r="L46" s="76"/>
      <x:c r="M46" s="351" t="str">
        <x:f>IF(OR(B46="",G46="",H46=""),"",IF(AND(K46&lt;&gt;"",L46&lt;&gt;""),(K46+L46)-(G46+H46),""))</x:f>
      </x:c>
      <x:c r="N46" s="70" t="str">
        <x:f>IF(B46="","",IF(AND(K46&lt;&gt;"",L46&lt;&gt;""),"Closed","Not Closed"))</x:f>
      </x:c>
      <x:c r="O46" s="68"/>
      <x:c r="P46" s="72"/>
      <x:c r="Q46" s="68"/>
    </x:row>
    <x:row r="47" ht="24" customHeight="1">
      <x:c r="A47" s="67" t="str">
        <x:f>IF(B47="","",ROW()-5)</x:f>
      </x:c>
      <x:c r="B47" s="68"/>
      <x:c r="C47" s="68"/>
      <x:c r="D47" s="68"/>
      <x:c r="E47" s="72"/>
      <x:c r="F47" s="68"/>
      <x:c r="G47" s="74"/>
      <x:c r="H47" s="76"/>
      <x:c r="I47" s="68"/>
      <x:c r="J47" s="72"/>
      <x:c r="K47" s="74"/>
      <x:c r="L47" s="76"/>
      <x:c r="M47" s="351" t="str">
        <x:f>IF(OR(B47="",G47="",H47=""),"",IF(AND(K47&lt;&gt;"",L47&lt;&gt;""),(K47+L47)-(G47+H47),""))</x:f>
      </x:c>
      <x:c r="N47" s="70" t="str">
        <x:f>IF(B47="","",IF(AND(K47&lt;&gt;"",L47&lt;&gt;""),"Closed","Not Closed"))</x:f>
      </x:c>
      <x:c r="O47" s="68"/>
      <x:c r="P47" s="72"/>
      <x:c r="Q47" s="68"/>
    </x:row>
    <x:row r="48" ht="24" customHeight="1">
      <x:c r="A48" s="67" t="str">
        <x:f>IF(B48="","",ROW()-5)</x:f>
      </x:c>
      <x:c r="B48" s="68"/>
      <x:c r="C48" s="68"/>
      <x:c r="D48" s="68"/>
      <x:c r="E48" s="72"/>
      <x:c r="F48" s="68"/>
      <x:c r="G48" s="74"/>
      <x:c r="H48" s="76"/>
      <x:c r="I48" s="68"/>
      <x:c r="J48" s="72"/>
      <x:c r="K48" s="74"/>
      <x:c r="L48" s="76"/>
      <x:c r="M48" s="351" t="str">
        <x:f>IF(OR(B48="",G48="",H48=""),"",IF(AND(K48&lt;&gt;"",L48&lt;&gt;""),(K48+L48)-(G48+H48),""))</x:f>
      </x:c>
      <x:c r="N48" s="70" t="str">
        <x:f>IF(B48="","",IF(AND(K48&lt;&gt;"",L48&lt;&gt;""),"Closed","Not Closed"))</x:f>
      </x:c>
      <x:c r="O48" s="68"/>
      <x:c r="P48" s="72"/>
      <x:c r="Q48" s="68"/>
    </x:row>
    <x:row r="49" ht="24" customHeight="1">
      <x:c r="A49" s="67" t="str">
        <x:f>IF(B49="","",ROW()-5)</x:f>
      </x:c>
      <x:c r="B49" s="68"/>
      <x:c r="C49" s="68"/>
      <x:c r="D49" s="68"/>
      <x:c r="E49" s="72"/>
      <x:c r="F49" s="68"/>
      <x:c r="G49" s="74"/>
      <x:c r="H49" s="76"/>
      <x:c r="I49" s="68"/>
      <x:c r="J49" s="72"/>
      <x:c r="K49" s="74"/>
      <x:c r="L49" s="76"/>
      <x:c r="M49" s="351" t="str">
        <x:f>IF(OR(B49="",G49="",H49=""),"",IF(AND(K49&lt;&gt;"",L49&lt;&gt;""),(K49+L49)-(G49+H49),""))</x:f>
      </x:c>
      <x:c r="N49" s="70" t="str">
        <x:f>IF(B49="","",IF(AND(K49&lt;&gt;"",L49&lt;&gt;""),"Closed","Not Closed"))</x:f>
      </x:c>
      <x:c r="O49" s="68"/>
      <x:c r="P49" s="72"/>
      <x:c r="Q49" s="68"/>
    </x:row>
    <x:row r="50" ht="24" customHeight="1">
      <x:c r="A50" s="67" t="str">
        <x:f>IF(B50="","",ROW()-5)</x:f>
      </x:c>
      <x:c r="B50" s="68"/>
      <x:c r="C50" s="68"/>
      <x:c r="D50" s="68"/>
      <x:c r="E50" s="72"/>
      <x:c r="F50" s="68"/>
      <x:c r="G50" s="74"/>
      <x:c r="H50" s="76"/>
      <x:c r="I50" s="68"/>
      <x:c r="J50" s="72"/>
      <x:c r="K50" s="74"/>
      <x:c r="L50" s="76"/>
      <x:c r="M50" s="351" t="str">
        <x:f>IF(OR(B50="",G50="",H50=""),"",IF(AND(K50&lt;&gt;"",L50&lt;&gt;""),(K50+L50)-(G50+H50),""))</x:f>
      </x:c>
      <x:c r="N50" s="70" t="str">
        <x:f>IF(B50="","",IF(AND(K50&lt;&gt;"",L50&lt;&gt;""),"Closed","Not Closed"))</x:f>
      </x:c>
      <x:c r="O50" s="68"/>
      <x:c r="P50" s="72"/>
      <x:c r="Q50" s="68"/>
    </x:row>
    <x:row r="51" ht="24" customHeight="1">
      <x:c r="A51" s="67" t="str">
        <x:f>IF(B51="","",ROW()-5)</x:f>
      </x:c>
      <x:c r="B51" s="68"/>
      <x:c r="C51" s="68"/>
      <x:c r="D51" s="68"/>
      <x:c r="E51" s="72"/>
      <x:c r="F51" s="68"/>
      <x:c r="G51" s="74"/>
      <x:c r="H51" s="76"/>
      <x:c r="I51" s="68"/>
      <x:c r="J51" s="72"/>
      <x:c r="K51" s="74"/>
      <x:c r="L51" s="76"/>
      <x:c r="M51" s="351" t="str">
        <x:f>IF(OR(B51="",G51="",H51=""),"",IF(AND(K51&lt;&gt;"",L51&lt;&gt;""),(K51+L51)-(G51+H51),""))</x:f>
      </x:c>
      <x:c r="N51" s="70" t="str">
        <x:f>IF(B51="","",IF(AND(K51&lt;&gt;"",L51&lt;&gt;""),"Closed","Not Closed"))</x:f>
      </x:c>
      <x:c r="O51" s="68"/>
      <x:c r="P51" s="72"/>
      <x:c r="Q51" s="68"/>
    </x:row>
    <x:row r="52" ht="24" customHeight="1">
      <x:c r="A52" s="67" t="str">
        <x:f>IF(B52="","",ROW()-5)</x:f>
      </x:c>
      <x:c r="B52" s="68"/>
      <x:c r="C52" s="68"/>
      <x:c r="D52" s="68"/>
      <x:c r="E52" s="72"/>
      <x:c r="F52" s="68"/>
      <x:c r="G52" s="74"/>
      <x:c r="H52" s="76"/>
      <x:c r="I52" s="68"/>
      <x:c r="J52" s="72"/>
      <x:c r="K52" s="74"/>
      <x:c r="L52" s="76"/>
      <x:c r="M52" s="351" t="str">
        <x:f>IF(OR(B52="",G52="",H52=""),"",IF(AND(K52&lt;&gt;"",L52&lt;&gt;""),(K52+L52)-(G52+H52),""))</x:f>
      </x:c>
      <x:c r="N52" s="70" t="str">
        <x:f>IF(B52="","",IF(AND(K52&lt;&gt;"",L52&lt;&gt;""),"Closed","Not Closed"))</x:f>
      </x:c>
      <x:c r="O52" s="68"/>
      <x:c r="P52" s="72"/>
      <x:c r="Q52" s="68"/>
    </x:row>
    <x:row r="53" ht="24" customHeight="1">
      <x:c r="A53" s="67" t="str">
        <x:f>IF(B53="","",ROW()-5)</x:f>
      </x:c>
      <x:c r="B53" s="68"/>
      <x:c r="C53" s="68"/>
      <x:c r="D53" s="68"/>
      <x:c r="E53" s="72"/>
      <x:c r="F53" s="68"/>
      <x:c r="G53" s="74"/>
      <x:c r="H53" s="76"/>
      <x:c r="I53" s="68"/>
      <x:c r="J53" s="72"/>
      <x:c r="K53" s="74"/>
      <x:c r="L53" s="76"/>
      <x:c r="M53" s="351" t="str">
        <x:f>IF(OR(B53="",G53="",H53=""),"",IF(AND(K53&lt;&gt;"",L53&lt;&gt;""),(K53+L53)-(G53+H53),""))</x:f>
      </x:c>
      <x:c r="N53" s="70" t="str">
        <x:f>IF(B53="","",IF(AND(K53&lt;&gt;"",L53&lt;&gt;""),"Closed","Not Closed"))</x:f>
      </x:c>
      <x:c r="O53" s="68"/>
      <x:c r="P53" s="72"/>
      <x:c r="Q53" s="68"/>
    </x:row>
    <x:row r="54" ht="24" customHeight="1">
      <x:c r="A54" s="67" t="str">
        <x:f>IF(B54="","",ROW()-5)</x:f>
      </x:c>
      <x:c r="B54" s="68"/>
      <x:c r="C54" s="68"/>
      <x:c r="D54" s="68"/>
      <x:c r="E54" s="72"/>
      <x:c r="F54" s="68"/>
      <x:c r="G54" s="74"/>
      <x:c r="H54" s="76"/>
      <x:c r="I54" s="68"/>
      <x:c r="J54" s="72"/>
      <x:c r="K54" s="74"/>
      <x:c r="L54" s="76"/>
      <x:c r="M54" s="351" t="str">
        <x:f>IF(OR(B54="",G54="",H54=""),"",IF(AND(K54&lt;&gt;"",L54&lt;&gt;""),(K54+L54)-(G54+H54),""))</x:f>
      </x:c>
      <x:c r="N54" s="70" t="str">
        <x:f>IF(B54="","",IF(AND(K54&lt;&gt;"",L54&lt;&gt;""),"Closed","Not Closed"))</x:f>
      </x:c>
      <x:c r="O54" s="68"/>
      <x:c r="P54" s="72"/>
      <x:c r="Q54" s="68"/>
    </x:row>
    <x:row r="55" ht="24" customHeight="1">
      <x:c r="A55" s="67" t="str">
        <x:f>IF(B55="","",ROW()-5)</x:f>
      </x:c>
      <x:c r="B55" s="68"/>
      <x:c r="C55" s="68"/>
      <x:c r="D55" s="68"/>
      <x:c r="E55" s="72"/>
      <x:c r="F55" s="68"/>
      <x:c r="G55" s="74"/>
      <x:c r="H55" s="76"/>
      <x:c r="I55" s="68"/>
      <x:c r="J55" s="72"/>
      <x:c r="K55" s="74"/>
      <x:c r="L55" s="76"/>
      <x:c r="M55" s="351" t="str">
        <x:f>IF(OR(B55="",G55="",H55=""),"",IF(AND(K55&lt;&gt;"",L55&lt;&gt;""),(K55+L55)-(G55+H55),""))</x:f>
      </x:c>
      <x:c r="N55" s="70" t="str">
        <x:f>IF(B55="","",IF(AND(K55&lt;&gt;"",L55&lt;&gt;""),"Closed","Not Closed"))</x:f>
      </x:c>
      <x:c r="O55" s="68"/>
      <x:c r="P55" s="72"/>
      <x:c r="Q55" s="68"/>
    </x:row>
    <x:row r="56" ht="24" customHeight="1">
      <x:c r="A56" s="67" t="str">
        <x:f>IF(B56="","",ROW()-5)</x:f>
      </x:c>
      <x:c r="B56" s="68"/>
      <x:c r="C56" s="68"/>
      <x:c r="D56" s="68"/>
      <x:c r="E56" s="72"/>
      <x:c r="F56" s="68"/>
      <x:c r="G56" s="74"/>
      <x:c r="H56" s="76"/>
      <x:c r="I56" s="68"/>
      <x:c r="J56" s="72"/>
      <x:c r="K56" s="74"/>
      <x:c r="L56" s="76"/>
      <x:c r="M56" s="351" t="str">
        <x:f>IF(OR(B56="",G56="",H56=""),"",IF(AND(K56&lt;&gt;"",L56&lt;&gt;""),(K56+L56)-(G56+H56),""))</x:f>
      </x:c>
      <x:c r="N56" s="70" t="str">
        <x:f>IF(B56="","",IF(AND(K56&lt;&gt;"",L56&lt;&gt;""),"Closed","Not Closed"))</x:f>
      </x:c>
      <x:c r="O56" s="68"/>
      <x:c r="P56" s="72"/>
      <x:c r="Q56" s="68"/>
    </x:row>
    <x:row r="57" ht="24" customHeight="1">
      <x:c r="A57" s="67" t="str">
        <x:f>IF(B57="","",ROW()-5)</x:f>
      </x:c>
      <x:c r="B57" s="68"/>
      <x:c r="C57" s="68"/>
      <x:c r="D57" s="68"/>
      <x:c r="E57" s="72"/>
      <x:c r="F57" s="68"/>
      <x:c r="G57" s="74"/>
      <x:c r="H57" s="76"/>
      <x:c r="I57" s="68"/>
      <x:c r="J57" s="72"/>
      <x:c r="K57" s="74"/>
      <x:c r="L57" s="76"/>
      <x:c r="M57" s="351" t="str">
        <x:f>IF(OR(B57="",G57="",H57=""),"",IF(AND(K57&lt;&gt;"",L57&lt;&gt;""),(K57+L57)-(G57+H57),""))</x:f>
      </x:c>
      <x:c r="N57" s="70" t="str">
        <x:f>IF(B57="","",IF(AND(K57&lt;&gt;"",L57&lt;&gt;""),"Closed","Not Closed"))</x:f>
      </x:c>
      <x:c r="O57" s="68"/>
      <x:c r="P57" s="72"/>
      <x:c r="Q57" s="68"/>
    </x:row>
    <x:row r="58" ht="24" customHeight="1">
      <x:c r="A58" s="67" t="str">
        <x:f>IF(B58="","",ROW()-5)</x:f>
      </x:c>
      <x:c r="B58" s="68"/>
      <x:c r="C58" s="68"/>
      <x:c r="D58" s="68"/>
      <x:c r="E58" s="72"/>
      <x:c r="F58" s="68"/>
      <x:c r="G58" s="74"/>
      <x:c r="H58" s="76"/>
      <x:c r="I58" s="68"/>
      <x:c r="J58" s="72"/>
      <x:c r="K58" s="74"/>
      <x:c r="L58" s="76"/>
      <x:c r="M58" s="351" t="str">
        <x:f>IF(OR(B58="",G58="",H58=""),"",IF(AND(K58&lt;&gt;"",L58&lt;&gt;""),(K58+L58)-(G58+H58),""))</x:f>
      </x:c>
      <x:c r="N58" s="70" t="str">
        <x:f>IF(B58="","",IF(AND(K58&lt;&gt;"",L58&lt;&gt;""),"Closed","Not Closed"))</x:f>
      </x:c>
      <x:c r="O58" s="68"/>
      <x:c r="P58" s="72"/>
      <x:c r="Q58" s="68"/>
    </x:row>
    <x:row r="59" ht="24" customHeight="1">
      <x:c r="A59" s="67" t="str">
        <x:f>IF(B59="","",ROW()-5)</x:f>
      </x:c>
      <x:c r="B59" s="68"/>
      <x:c r="C59" s="68"/>
      <x:c r="D59" s="68"/>
      <x:c r="E59" s="72"/>
      <x:c r="F59" s="68"/>
      <x:c r="G59" s="74"/>
      <x:c r="H59" s="76"/>
      <x:c r="I59" s="68"/>
      <x:c r="J59" s="72"/>
      <x:c r="K59" s="74"/>
      <x:c r="L59" s="76"/>
      <x:c r="M59" s="351" t="str">
        <x:f>IF(OR(B59="",G59="",H59=""),"",IF(AND(K59&lt;&gt;"",L59&lt;&gt;""),(K59+L59)-(G59+H59),""))</x:f>
      </x:c>
      <x:c r="N59" s="70" t="str">
        <x:f>IF(B59="","",IF(AND(K59&lt;&gt;"",L59&lt;&gt;""),"Closed","Not Closed"))</x:f>
      </x:c>
      <x:c r="O59" s="68"/>
      <x:c r="P59" s="72"/>
      <x:c r="Q59" s="68"/>
    </x:row>
    <x:row r="60" ht="24" customHeight="1">
      <x:c r="A60" s="67" t="str">
        <x:f>IF(B60="","",ROW()-5)</x:f>
      </x:c>
      <x:c r="B60" s="68"/>
      <x:c r="C60" s="68"/>
      <x:c r="D60" s="68"/>
      <x:c r="E60" s="72"/>
      <x:c r="F60" s="68"/>
      <x:c r="G60" s="74"/>
      <x:c r="H60" s="76"/>
      <x:c r="I60" s="68"/>
      <x:c r="J60" s="72"/>
      <x:c r="K60" s="74"/>
      <x:c r="L60" s="76"/>
      <x:c r="M60" s="351" t="str">
        <x:f>IF(OR(B60="",G60="",H60=""),"",IF(AND(K60&lt;&gt;"",L60&lt;&gt;""),(K60+L60)-(G60+H60),""))</x:f>
      </x:c>
      <x:c r="N60" s="70" t="str">
        <x:f>IF(B60="","",IF(AND(K60&lt;&gt;"",L60&lt;&gt;""),"Closed","Not Closed"))</x:f>
      </x:c>
      <x:c r="O60" s="68"/>
      <x:c r="P60" s="72"/>
      <x:c r="Q60" s="68"/>
    </x:row>
    <x:row r="61" ht="24" customHeight="1">
      <x:c r="A61" s="67" t="str">
        <x:f>IF(B61="","",ROW()-5)</x:f>
      </x:c>
      <x:c r="B61" s="68"/>
      <x:c r="C61" s="68"/>
      <x:c r="D61" s="68"/>
      <x:c r="E61" s="72"/>
      <x:c r="F61" s="68"/>
      <x:c r="G61" s="74"/>
      <x:c r="H61" s="76"/>
      <x:c r="I61" s="68"/>
      <x:c r="J61" s="72"/>
      <x:c r="K61" s="74"/>
      <x:c r="L61" s="76"/>
      <x:c r="M61" s="351" t="str">
        <x:f>IF(OR(B61="",G61="",H61=""),"",IF(AND(K61&lt;&gt;"",L61&lt;&gt;""),(K61+L61)-(G61+H61),""))</x:f>
      </x:c>
      <x:c r="N61" s="70" t="str">
        <x:f>IF(B61="","",IF(AND(K61&lt;&gt;"",L61&lt;&gt;""),"Closed","Not Closed"))</x:f>
      </x:c>
      <x:c r="O61" s="68"/>
      <x:c r="P61" s="72"/>
      <x:c r="Q61" s="68"/>
    </x:row>
    <x:row r="62" ht="24" customHeight="1">
      <x:c r="A62" s="67" t="str">
        <x:f>IF(B62="","",ROW()-5)</x:f>
      </x:c>
      <x:c r="B62" s="68"/>
      <x:c r="C62" s="68"/>
      <x:c r="D62" s="68"/>
      <x:c r="E62" s="72"/>
      <x:c r="F62" s="68"/>
      <x:c r="G62" s="74"/>
      <x:c r="H62" s="76"/>
      <x:c r="I62" s="68"/>
      <x:c r="J62" s="72"/>
      <x:c r="K62" s="74"/>
      <x:c r="L62" s="76"/>
      <x:c r="M62" s="351" t="str">
        <x:f>IF(OR(B62="",G62="",H62=""),"",IF(AND(K62&lt;&gt;"",L62&lt;&gt;""),(K62+L62)-(G62+H62),""))</x:f>
      </x:c>
      <x:c r="N62" s="70" t="str">
        <x:f>IF(B62="","",IF(AND(K62&lt;&gt;"",L62&lt;&gt;""),"Closed","Not Closed"))</x:f>
      </x:c>
      <x:c r="O62" s="68"/>
      <x:c r="P62" s="72"/>
      <x:c r="Q62" s="68"/>
    </x:row>
    <x:row r="63" ht="24" customHeight="1">
      <x:c r="A63" s="67" t="str">
        <x:f>IF(B63="","",ROW()-5)</x:f>
      </x:c>
      <x:c r="B63" s="68"/>
      <x:c r="C63" s="68"/>
      <x:c r="D63" s="68"/>
      <x:c r="E63" s="72"/>
      <x:c r="F63" s="68"/>
      <x:c r="G63" s="74"/>
      <x:c r="H63" s="76"/>
      <x:c r="I63" s="68"/>
      <x:c r="J63" s="72"/>
      <x:c r="K63" s="74"/>
      <x:c r="L63" s="76"/>
      <x:c r="M63" s="351" t="str">
        <x:f>IF(OR(B63="",G63="",H63=""),"",IF(AND(K63&lt;&gt;"",L63&lt;&gt;""),(K63+L63)-(G63+H63),""))</x:f>
      </x:c>
      <x:c r="N63" s="70" t="str">
        <x:f>IF(B63="","",IF(AND(K63&lt;&gt;"",L63&lt;&gt;""),"Closed","Not Closed"))</x:f>
      </x:c>
      <x:c r="O63" s="68"/>
      <x:c r="P63" s="72"/>
      <x:c r="Q63" s="68"/>
    </x:row>
    <x:row r="64" ht="24" customHeight="1">
      <x:c r="A64" s="67" t="str">
        <x:f>IF(B64="","",ROW()-5)</x:f>
      </x:c>
      <x:c r="B64" s="68"/>
      <x:c r="C64" s="68"/>
      <x:c r="D64" s="68"/>
      <x:c r="E64" s="72"/>
      <x:c r="F64" s="68"/>
      <x:c r="G64" s="74"/>
      <x:c r="H64" s="76"/>
      <x:c r="I64" s="68"/>
      <x:c r="J64" s="72"/>
      <x:c r="K64" s="74"/>
      <x:c r="L64" s="76"/>
      <x:c r="M64" s="351" t="str">
        <x:f>IF(OR(B64="",G64="",H64=""),"",IF(AND(K64&lt;&gt;"",L64&lt;&gt;""),(K64+L64)-(G64+H64),""))</x:f>
      </x:c>
      <x:c r="N64" s="70" t="str">
        <x:f>IF(B64="","",IF(AND(K64&lt;&gt;"",L64&lt;&gt;""),"Closed","Not Closed"))</x:f>
      </x:c>
      <x:c r="O64" s="68"/>
      <x:c r="P64" s="72"/>
      <x:c r="Q64" s="68"/>
    </x:row>
    <x:row r="65" ht="24" customHeight="1">
      <x:c r="A65" s="67" t="str">
        <x:f>IF(B65="","",ROW()-5)</x:f>
      </x:c>
      <x:c r="B65" s="68"/>
      <x:c r="C65" s="68"/>
      <x:c r="D65" s="68"/>
      <x:c r="E65" s="72"/>
      <x:c r="F65" s="68"/>
      <x:c r="G65" s="74"/>
      <x:c r="H65" s="76"/>
      <x:c r="I65" s="68"/>
      <x:c r="J65" s="72"/>
      <x:c r="K65" s="74"/>
      <x:c r="L65" s="76"/>
      <x:c r="M65" s="351" t="str">
        <x:f>IF(OR(B65="",G65="",H65=""),"",IF(AND(K65&lt;&gt;"",L65&lt;&gt;""),(K65+L65)-(G65+H65),""))</x:f>
      </x:c>
      <x:c r="N65" s="70" t="str">
        <x:f>IF(B65="","",IF(AND(K65&lt;&gt;"",L65&lt;&gt;""),"Closed","Not Closed"))</x:f>
      </x:c>
      <x:c r="O65" s="68"/>
      <x:c r="P65" s="72"/>
      <x:c r="Q65" s="68"/>
    </x:row>
    <x:row r="66" ht="24" customHeight="1">
      <x:c r="A66" s="67" t="str">
        <x:f>IF(B66="","",ROW()-5)</x:f>
      </x:c>
      <x:c r="B66" s="68"/>
      <x:c r="C66" s="68"/>
      <x:c r="D66" s="68"/>
      <x:c r="E66" s="72"/>
      <x:c r="F66" s="68"/>
      <x:c r="G66" s="74"/>
      <x:c r="H66" s="76"/>
      <x:c r="I66" s="68"/>
      <x:c r="J66" s="72"/>
      <x:c r="K66" s="74"/>
      <x:c r="L66" s="76"/>
      <x:c r="M66" s="351" t="str">
        <x:f>IF(OR(B66="",G66="",H66=""),"",IF(AND(K66&lt;&gt;"",L66&lt;&gt;""),(K66+L66)-(G66+H66),""))</x:f>
      </x:c>
      <x:c r="N66" s="70" t="str">
        <x:f>IF(B66="","",IF(AND(K66&lt;&gt;"",L66&lt;&gt;""),"Closed","Not Closed"))</x:f>
      </x:c>
      <x:c r="O66" s="68"/>
      <x:c r="P66" s="72"/>
      <x:c r="Q66" s="68"/>
    </x:row>
    <x:row r="67" ht="24" customHeight="1">
      <x:c r="A67" s="67" t="str">
        <x:f>IF(B67="","",ROW()-5)</x:f>
      </x:c>
      <x:c r="B67" s="68"/>
      <x:c r="C67" s="68"/>
      <x:c r="D67" s="68"/>
      <x:c r="E67" s="72"/>
      <x:c r="F67" s="68"/>
      <x:c r="G67" s="74"/>
      <x:c r="H67" s="76"/>
      <x:c r="I67" s="68"/>
      <x:c r="J67" s="72"/>
      <x:c r="K67" s="74"/>
      <x:c r="L67" s="76"/>
      <x:c r="M67" s="351" t="str">
        <x:f>IF(OR(B67="",G67="",H67=""),"",IF(AND(K67&lt;&gt;"",L67&lt;&gt;""),(K67+L67)-(G67+H67),""))</x:f>
      </x:c>
      <x:c r="N67" s="70" t="str">
        <x:f>IF(B67="","",IF(AND(K67&lt;&gt;"",L67&lt;&gt;""),"Closed","Not Closed"))</x:f>
      </x:c>
      <x:c r="O67" s="68"/>
      <x:c r="P67" s="72"/>
      <x:c r="Q67" s="68"/>
    </x:row>
    <x:row r="68" ht="24" customHeight="1">
      <x:c r="A68" s="67" t="str">
        <x:f>IF(B68="","",ROW()-5)</x:f>
      </x:c>
      <x:c r="B68" s="68"/>
      <x:c r="C68" s="68"/>
      <x:c r="D68" s="68"/>
      <x:c r="E68" s="72"/>
      <x:c r="F68" s="68"/>
      <x:c r="G68" s="74"/>
      <x:c r="H68" s="76"/>
      <x:c r="I68" s="68"/>
      <x:c r="J68" s="72"/>
      <x:c r="K68" s="74"/>
      <x:c r="L68" s="76"/>
      <x:c r="M68" s="351" t="str">
        <x:f>IF(OR(B68="",G68="",H68=""),"",IF(AND(K68&lt;&gt;"",L68&lt;&gt;""),(K68+L68)-(G68+H68),""))</x:f>
      </x:c>
      <x:c r="N68" s="70" t="str">
        <x:f>IF(B68="","",IF(AND(K68&lt;&gt;"",L68&lt;&gt;""),"Closed","Not Closed"))</x:f>
      </x:c>
      <x:c r="O68" s="68"/>
      <x:c r="P68" s="72"/>
      <x:c r="Q68" s="68"/>
    </x:row>
    <x:row r="69" ht="24" customHeight="1">
      <x:c r="A69" s="67" t="str">
        <x:f>IF(B69="","",ROW()-5)</x:f>
      </x:c>
      <x:c r="B69" s="68"/>
      <x:c r="C69" s="68"/>
      <x:c r="D69" s="68"/>
      <x:c r="E69" s="72"/>
      <x:c r="F69" s="68"/>
      <x:c r="G69" s="74"/>
      <x:c r="H69" s="76"/>
      <x:c r="I69" s="68"/>
      <x:c r="J69" s="72"/>
      <x:c r="K69" s="74"/>
      <x:c r="L69" s="76"/>
      <x:c r="M69" s="351" t="str">
        <x:f>IF(OR(B69="",G69="",H69=""),"",IF(AND(K69&lt;&gt;"",L69&lt;&gt;""),(K69+L69)-(G69+H69),""))</x:f>
      </x:c>
      <x:c r="N69" s="70" t="str">
        <x:f>IF(B69="","",IF(AND(K69&lt;&gt;"",L69&lt;&gt;""),"Closed","Not Closed"))</x:f>
      </x:c>
      <x:c r="O69" s="68"/>
      <x:c r="P69" s="72"/>
      <x:c r="Q69" s="68"/>
    </x:row>
    <x:row r="70" ht="24" customHeight="1">
      <x:c r="A70" s="67" t="str">
        <x:f>IF(B70="","",ROW()-5)</x:f>
      </x:c>
      <x:c r="B70" s="68"/>
      <x:c r="C70" s="68"/>
      <x:c r="D70" s="68"/>
      <x:c r="E70" s="72"/>
      <x:c r="F70" s="68"/>
      <x:c r="G70" s="74"/>
      <x:c r="H70" s="76"/>
      <x:c r="I70" s="68"/>
      <x:c r="J70" s="72"/>
      <x:c r="K70" s="74"/>
      <x:c r="L70" s="76"/>
      <x:c r="M70" s="351" t="str">
        <x:f>IF(OR(B70="",G70="",H70=""),"",IF(AND(K70&lt;&gt;"",L70&lt;&gt;""),(K70+L70)-(G70+H70),""))</x:f>
      </x:c>
      <x:c r="N70" s="70" t="str">
        <x:f>IF(B70="","",IF(AND(K70&lt;&gt;"",L70&lt;&gt;""),"Closed","Not Closed"))</x:f>
      </x:c>
      <x:c r="O70" s="68"/>
      <x:c r="P70" s="72"/>
      <x:c r="Q70" s="68"/>
    </x:row>
    <x:row r="71" ht="24" customHeight="1">
      <x:c r="A71" s="67" t="str">
        <x:f>IF(B71="","",ROW()-5)</x:f>
      </x:c>
      <x:c r="B71" s="68"/>
      <x:c r="C71" s="68"/>
      <x:c r="D71" s="68"/>
      <x:c r="E71" s="72"/>
      <x:c r="F71" s="68"/>
      <x:c r="G71" s="74"/>
      <x:c r="H71" s="76"/>
      <x:c r="I71" s="68"/>
      <x:c r="J71" s="72"/>
      <x:c r="K71" s="74"/>
      <x:c r="L71" s="76"/>
      <x:c r="M71" s="351" t="str">
        <x:f>IF(OR(B71="",G71="",H71=""),"",IF(AND(K71&lt;&gt;"",L71&lt;&gt;""),(K71+L71)-(G71+H71),""))</x:f>
      </x:c>
      <x:c r="N71" s="70" t="str">
        <x:f>IF(B71="","",IF(AND(K71&lt;&gt;"",L71&lt;&gt;""),"Closed","Not Closed"))</x:f>
      </x:c>
      <x:c r="O71" s="68"/>
      <x:c r="P71" s="72"/>
      <x:c r="Q71" s="68"/>
    </x:row>
    <x:row r="72" ht="24" customHeight="1">
      <x:c r="A72" s="67" t="str">
        <x:f>IF(B72="","",ROW()-5)</x:f>
      </x:c>
      <x:c r="B72" s="68"/>
      <x:c r="C72" s="68"/>
      <x:c r="D72" s="68"/>
      <x:c r="E72" s="72"/>
      <x:c r="F72" s="68"/>
      <x:c r="G72" s="74"/>
      <x:c r="H72" s="76"/>
      <x:c r="I72" s="68"/>
      <x:c r="J72" s="72"/>
      <x:c r="K72" s="74"/>
      <x:c r="L72" s="76"/>
      <x:c r="M72" s="351" t="str">
        <x:f>IF(OR(B72="",G72="",H72=""),"",IF(AND(K72&lt;&gt;"",L72&lt;&gt;""),(K72+L72)-(G72+H72),""))</x:f>
      </x:c>
      <x:c r="N72" s="70" t="str">
        <x:f>IF(B72="","",IF(AND(K72&lt;&gt;"",L72&lt;&gt;""),"Closed","Not Closed"))</x:f>
      </x:c>
      <x:c r="O72" s="68"/>
      <x:c r="P72" s="72"/>
      <x:c r="Q72" s="68"/>
    </x:row>
    <x:row r="73" ht="24" customHeight="1">
      <x:c r="A73" s="67" t="str">
        <x:f>IF(B73="","",ROW()-5)</x:f>
      </x:c>
      <x:c r="B73" s="68"/>
      <x:c r="C73" s="68"/>
      <x:c r="D73" s="68"/>
      <x:c r="E73" s="72"/>
      <x:c r="F73" s="68"/>
      <x:c r="G73" s="74"/>
      <x:c r="H73" s="76"/>
      <x:c r="I73" s="68"/>
      <x:c r="J73" s="72"/>
      <x:c r="K73" s="74"/>
      <x:c r="L73" s="76"/>
      <x:c r="M73" s="351" t="str">
        <x:f>IF(OR(B73="",G73="",H73=""),"",IF(AND(K73&lt;&gt;"",L73&lt;&gt;""),(K73+L73)-(G73+H73),""))</x:f>
      </x:c>
      <x:c r="N73" s="70" t="str">
        <x:f>IF(B73="","",IF(AND(K73&lt;&gt;"",L73&lt;&gt;""),"Closed","Not Closed"))</x:f>
      </x:c>
      <x:c r="O73" s="68"/>
      <x:c r="P73" s="72"/>
      <x:c r="Q73" s="68"/>
    </x:row>
    <x:row r="74" ht="24" customHeight="1">
      <x:c r="A74" s="67" t="str">
        <x:f>IF(B74="","",ROW()-5)</x:f>
      </x:c>
      <x:c r="B74" s="68"/>
      <x:c r="C74" s="68"/>
      <x:c r="D74" s="68"/>
      <x:c r="E74" s="72"/>
      <x:c r="F74" s="68"/>
      <x:c r="G74" s="74"/>
      <x:c r="H74" s="76"/>
      <x:c r="I74" s="68"/>
      <x:c r="J74" s="72"/>
      <x:c r="K74" s="74"/>
      <x:c r="L74" s="76"/>
      <x:c r="M74" s="351" t="str">
        <x:f>IF(OR(B74="",G74="",H74=""),"",IF(AND(K74&lt;&gt;"",L74&lt;&gt;""),(K74+L74)-(G74+H74),""))</x:f>
      </x:c>
      <x:c r="N74" s="70" t="str">
        <x:f>IF(B74="","",IF(AND(K74&lt;&gt;"",L74&lt;&gt;""),"Closed","Not Closed"))</x:f>
      </x:c>
      <x:c r="O74" s="68"/>
      <x:c r="P74" s="72"/>
      <x:c r="Q74" s="68"/>
    </x:row>
    <x:row r="75" ht="24" customHeight="1">
      <x:c r="A75" s="67" t="str">
        <x:f>IF(B75="","",ROW()-5)</x:f>
      </x:c>
      <x:c r="B75" s="68"/>
      <x:c r="C75" s="68"/>
      <x:c r="D75" s="68"/>
      <x:c r="E75" s="72"/>
      <x:c r="F75" s="68"/>
      <x:c r="G75" s="74"/>
      <x:c r="H75" s="76"/>
      <x:c r="I75" s="68"/>
      <x:c r="J75" s="72"/>
      <x:c r="K75" s="74"/>
      <x:c r="L75" s="76"/>
      <x:c r="M75" s="351" t="str">
        <x:f>IF(OR(B75="",G75="",H75=""),"",IF(AND(K75&lt;&gt;"",L75&lt;&gt;""),(K75+L75)-(G75+H75),""))</x:f>
      </x:c>
      <x:c r="N75" s="70" t="str">
        <x:f>IF(B75="","",IF(AND(K75&lt;&gt;"",L75&lt;&gt;""),"Closed","Not Closed"))</x:f>
      </x:c>
      <x:c r="O75" s="68"/>
      <x:c r="P75" s="72"/>
      <x:c r="Q75" s="68"/>
    </x:row>
    <x:row r="76" ht="24" customHeight="1">
      <x:c r="A76" s="67" t="str">
        <x:f>IF(B76="","",ROW()-5)</x:f>
      </x:c>
      <x:c r="B76" s="68"/>
      <x:c r="C76" s="68"/>
      <x:c r="D76" s="68"/>
      <x:c r="E76" s="72"/>
      <x:c r="F76" s="68"/>
      <x:c r="G76" s="74"/>
      <x:c r="H76" s="76"/>
      <x:c r="I76" s="68"/>
      <x:c r="J76" s="72"/>
      <x:c r="K76" s="74"/>
      <x:c r="L76" s="76"/>
      <x:c r="M76" s="351" t="str">
        <x:f>IF(OR(B76="",G76="",H76=""),"",IF(AND(K76&lt;&gt;"",L76&lt;&gt;""),(K76+L76)-(G76+H76),""))</x:f>
      </x:c>
      <x:c r="N76" s="70" t="str">
        <x:f>IF(B76="","",IF(AND(K76&lt;&gt;"",L76&lt;&gt;""),"Closed","Not Closed"))</x:f>
      </x:c>
      <x:c r="O76" s="68"/>
      <x:c r="P76" s="72"/>
      <x:c r="Q76" s="68"/>
    </x:row>
    <x:row r="77" ht="24" customHeight="1">
      <x:c r="A77" s="67" t="str">
        <x:f>IF(B77="","",ROW()-5)</x:f>
      </x:c>
      <x:c r="B77" s="68"/>
      <x:c r="C77" s="68"/>
      <x:c r="D77" s="68"/>
      <x:c r="E77" s="72"/>
      <x:c r="F77" s="68"/>
      <x:c r="G77" s="74"/>
      <x:c r="H77" s="76"/>
      <x:c r="I77" s="68"/>
      <x:c r="J77" s="72"/>
      <x:c r="K77" s="74"/>
      <x:c r="L77" s="76"/>
      <x:c r="M77" s="351" t="str">
        <x:f>IF(OR(B77="",G77="",H77=""),"",IF(AND(K77&lt;&gt;"",L77&lt;&gt;""),(K77+L77)-(G77+H77),""))</x:f>
      </x:c>
      <x:c r="N77" s="70" t="str">
        <x:f>IF(B77="","",IF(AND(K77&lt;&gt;"",L77&lt;&gt;""),"Closed","Not Closed"))</x:f>
      </x:c>
      <x:c r="O77" s="68"/>
      <x:c r="P77" s="72"/>
      <x:c r="Q77" s="68"/>
    </x:row>
    <x:row r="78" ht="24" customHeight="1">
      <x:c r="A78" s="67" t="str">
        <x:f>IF(B78="","",ROW()-5)</x:f>
      </x:c>
      <x:c r="B78" s="68"/>
      <x:c r="C78" s="68"/>
      <x:c r="D78" s="68"/>
      <x:c r="E78" s="72"/>
      <x:c r="F78" s="68"/>
      <x:c r="G78" s="74"/>
      <x:c r="H78" s="76"/>
      <x:c r="I78" s="68"/>
      <x:c r="J78" s="72"/>
      <x:c r="K78" s="74"/>
      <x:c r="L78" s="76"/>
      <x:c r="M78" s="351" t="str">
        <x:f>IF(OR(B78="",G78="",H78=""),"",IF(AND(K78&lt;&gt;"",L78&lt;&gt;""),(K78+L78)-(G78+H78),""))</x:f>
      </x:c>
      <x:c r="N78" s="70" t="str">
        <x:f>IF(B78="","",IF(AND(K78&lt;&gt;"",L78&lt;&gt;""),"Closed","Not Closed"))</x:f>
      </x:c>
      <x:c r="O78" s="68"/>
      <x:c r="P78" s="72"/>
      <x:c r="Q78" s="68"/>
    </x:row>
    <x:row r="79" ht="24" customHeight="1">
      <x:c r="A79" s="67" t="str">
        <x:f>IF(B79="","",ROW()-5)</x:f>
      </x:c>
      <x:c r="B79" s="68"/>
      <x:c r="C79" s="68"/>
      <x:c r="D79" s="68"/>
      <x:c r="E79" s="72"/>
      <x:c r="F79" s="68"/>
      <x:c r="G79" s="74"/>
      <x:c r="H79" s="76"/>
      <x:c r="I79" s="68"/>
      <x:c r="J79" s="72"/>
      <x:c r="K79" s="74"/>
      <x:c r="L79" s="76"/>
      <x:c r="M79" s="351" t="str">
        <x:f>IF(OR(B79="",G79="",H79=""),"",IF(AND(K79&lt;&gt;"",L79&lt;&gt;""),(K79+L79)-(G79+H79),""))</x:f>
      </x:c>
      <x:c r="N79" s="70" t="str">
        <x:f>IF(B79="","",IF(AND(K79&lt;&gt;"",L79&lt;&gt;""),"Closed","Not Closed"))</x:f>
      </x:c>
      <x:c r="O79" s="68"/>
      <x:c r="P79" s="72"/>
      <x:c r="Q79" s="68"/>
    </x:row>
    <x:row r="80" ht="24" customHeight="1">
      <x:c r="A80" s="67" t="str">
        <x:f>IF(B80="","",ROW()-5)</x:f>
      </x:c>
      <x:c r="B80" s="68"/>
      <x:c r="C80" s="68"/>
      <x:c r="D80" s="68"/>
      <x:c r="E80" s="72"/>
      <x:c r="F80" s="68"/>
      <x:c r="G80" s="74"/>
      <x:c r="H80" s="76"/>
      <x:c r="I80" s="68"/>
      <x:c r="J80" s="72"/>
      <x:c r="K80" s="74"/>
      <x:c r="L80" s="76"/>
      <x:c r="M80" s="351" t="str">
        <x:f>IF(OR(B80="",G80="",H80=""),"",IF(AND(K80&lt;&gt;"",L80&lt;&gt;""),(K80+L80)-(G80+H80),""))</x:f>
      </x:c>
      <x:c r="N80" s="70" t="str">
        <x:f>IF(B80="","",IF(AND(K80&lt;&gt;"",L80&lt;&gt;""),"Closed","Not Closed"))</x:f>
      </x:c>
      <x:c r="O80" s="68"/>
      <x:c r="P80" s="72"/>
      <x:c r="Q80" s="68"/>
    </x:row>
    <x:row r="81" ht="24" customHeight="1">
      <x:c r="A81" s="67" t="str">
        <x:f>IF(B81="","",ROW()-5)</x:f>
      </x:c>
      <x:c r="B81" s="68"/>
      <x:c r="C81" s="68"/>
      <x:c r="D81" s="68"/>
      <x:c r="E81" s="72"/>
      <x:c r="F81" s="68"/>
      <x:c r="G81" s="74"/>
      <x:c r="H81" s="76"/>
      <x:c r="I81" s="68"/>
      <x:c r="J81" s="72"/>
      <x:c r="K81" s="74"/>
      <x:c r="L81" s="76"/>
      <x:c r="M81" s="351" t="str">
        <x:f>IF(OR(B81="",G81="",H81=""),"",IF(AND(K81&lt;&gt;"",L81&lt;&gt;""),(K81+L81)-(G81+H81),""))</x:f>
      </x:c>
      <x:c r="N81" s="70" t="str">
        <x:f>IF(B81="","",IF(AND(K81&lt;&gt;"",L81&lt;&gt;""),"Closed","Not Closed"))</x:f>
      </x:c>
      <x:c r="O81" s="68"/>
      <x:c r="P81" s="72"/>
      <x:c r="Q81" s="68"/>
    </x:row>
    <x:row r="82" ht="24" customHeight="1">
      <x:c r="A82" s="67" t="str">
        <x:f>IF(B82="","",ROW()-5)</x:f>
      </x:c>
      <x:c r="B82" s="68"/>
      <x:c r="C82" s="68"/>
      <x:c r="D82" s="68"/>
      <x:c r="E82" s="72"/>
      <x:c r="F82" s="68"/>
      <x:c r="G82" s="74"/>
      <x:c r="H82" s="76"/>
      <x:c r="I82" s="68"/>
      <x:c r="J82" s="72"/>
      <x:c r="K82" s="74"/>
      <x:c r="L82" s="76"/>
      <x:c r="M82" s="351" t="str">
        <x:f>IF(OR(B82="",G82="",H82=""),"",IF(AND(K82&lt;&gt;"",L82&lt;&gt;""),(K82+L82)-(G82+H82),""))</x:f>
      </x:c>
      <x:c r="N82" s="70" t="str">
        <x:f>IF(B82="","",IF(AND(K82&lt;&gt;"",L82&lt;&gt;""),"Closed","Not Closed"))</x:f>
      </x:c>
      <x:c r="O82" s="68"/>
      <x:c r="P82" s="72"/>
      <x:c r="Q82" s="68"/>
    </x:row>
    <x:row r="83" ht="24" customHeight="1">
      <x:c r="A83" s="67" t="str">
        <x:f>IF(B83="","",ROW()-5)</x:f>
      </x:c>
      <x:c r="B83" s="68"/>
      <x:c r="C83" s="68"/>
      <x:c r="D83" s="68"/>
      <x:c r="E83" s="72"/>
      <x:c r="F83" s="68"/>
      <x:c r="G83" s="74"/>
      <x:c r="H83" s="76"/>
      <x:c r="I83" s="68"/>
      <x:c r="J83" s="72"/>
      <x:c r="K83" s="74"/>
      <x:c r="L83" s="76"/>
      <x:c r="M83" s="351" t="str">
        <x:f>IF(OR(B83="",G83="",H83=""),"",IF(AND(K83&lt;&gt;"",L83&lt;&gt;""),(K83+L83)-(G83+H83),""))</x:f>
      </x:c>
      <x:c r="N83" s="70" t="str">
        <x:f>IF(B83="","",IF(AND(K83&lt;&gt;"",L83&lt;&gt;""),"Closed","Not Closed"))</x:f>
      </x:c>
      <x:c r="O83" s="68"/>
      <x:c r="P83" s="72"/>
      <x:c r="Q83" s="68"/>
    </x:row>
    <x:row r="84" ht="24" customHeight="1">
      <x:c r="A84" s="67" t="str">
        <x:f>IF(B84="","",ROW()-5)</x:f>
      </x:c>
      <x:c r="B84" s="68"/>
      <x:c r="C84" s="68"/>
      <x:c r="D84" s="68"/>
      <x:c r="E84" s="72"/>
      <x:c r="F84" s="68"/>
      <x:c r="G84" s="74"/>
      <x:c r="H84" s="76"/>
      <x:c r="I84" s="68"/>
      <x:c r="J84" s="72"/>
      <x:c r="K84" s="74"/>
      <x:c r="L84" s="76"/>
      <x:c r="M84" s="351" t="str">
        <x:f>IF(OR(B84="",G84="",H84=""),"",IF(AND(K84&lt;&gt;"",L84&lt;&gt;""),(K84+L84)-(G84+H84),""))</x:f>
      </x:c>
      <x:c r="N84" s="70" t="str">
        <x:f>IF(B84="","",IF(AND(K84&lt;&gt;"",L84&lt;&gt;""),"Closed","Not Closed"))</x:f>
      </x:c>
      <x:c r="O84" s="68"/>
      <x:c r="P84" s="72"/>
      <x:c r="Q84" s="68"/>
    </x:row>
    <x:row r="85" ht="24" customHeight="1">
      <x:c r="A85" s="67" t="str">
        <x:f>IF(B85="","",ROW()-5)</x:f>
      </x:c>
      <x:c r="B85" s="68"/>
      <x:c r="C85" s="68"/>
      <x:c r="D85" s="68"/>
      <x:c r="E85" s="72"/>
      <x:c r="F85" s="68"/>
      <x:c r="G85" s="74"/>
      <x:c r="H85" s="76"/>
      <x:c r="I85" s="68"/>
      <x:c r="J85" s="72"/>
      <x:c r="K85" s="74"/>
      <x:c r="L85" s="76"/>
      <x:c r="M85" s="351" t="str">
        <x:f>IF(OR(B85="",G85="",H85=""),"",IF(AND(K85&lt;&gt;"",L85&lt;&gt;""),(K85+L85)-(G85+H85),""))</x:f>
      </x:c>
      <x:c r="N85" s="70" t="str">
        <x:f>IF(B85="","",IF(AND(K85&lt;&gt;"",L85&lt;&gt;""),"Closed","Not Closed"))</x:f>
      </x:c>
      <x:c r="O85" s="68"/>
      <x:c r="P85" s="72"/>
      <x:c r="Q85" s="68"/>
    </x:row>
    <x:row r="86" ht="24" customHeight="1">
      <x:c r="A86" s="67" t="str">
        <x:f>IF(B86="","",ROW()-5)</x:f>
      </x:c>
      <x:c r="B86" s="68"/>
      <x:c r="C86" s="68"/>
      <x:c r="D86" s="68"/>
      <x:c r="E86" s="72"/>
      <x:c r="F86" s="68"/>
      <x:c r="G86" s="74"/>
      <x:c r="H86" s="76"/>
      <x:c r="I86" s="68"/>
      <x:c r="J86" s="72"/>
      <x:c r="K86" s="74"/>
      <x:c r="L86" s="76"/>
      <x:c r="M86" s="351" t="str">
        <x:f>IF(OR(B86="",G86="",H86=""),"",IF(AND(K86&lt;&gt;"",L86&lt;&gt;""),(K86+L86)-(G86+H86),""))</x:f>
      </x:c>
      <x:c r="N86" s="70" t="str">
        <x:f>IF(B86="","",IF(AND(K86&lt;&gt;"",L86&lt;&gt;""),"Closed","Not Closed"))</x:f>
      </x:c>
      <x:c r="O86" s="68"/>
      <x:c r="P86" s="72"/>
      <x:c r="Q86" s="68"/>
    </x:row>
    <x:row r="87" ht="24" customHeight="1">
      <x:c r="A87" s="67" t="str">
        <x:f>IF(B87="","",ROW()-5)</x:f>
      </x:c>
      <x:c r="B87" s="68"/>
      <x:c r="C87" s="68"/>
      <x:c r="D87" s="68"/>
      <x:c r="E87" s="72"/>
      <x:c r="F87" s="68"/>
      <x:c r="G87" s="74"/>
      <x:c r="H87" s="76"/>
      <x:c r="I87" s="68"/>
      <x:c r="J87" s="72"/>
      <x:c r="K87" s="74"/>
      <x:c r="L87" s="76"/>
      <x:c r="M87" s="351" t="str">
        <x:f>IF(OR(B87="",G87="",H87=""),"",IF(AND(K87&lt;&gt;"",L87&lt;&gt;""),(K87+L87)-(G87+H87),""))</x:f>
      </x:c>
      <x:c r="N87" s="70" t="str">
        <x:f>IF(B87="","",IF(AND(K87&lt;&gt;"",L87&lt;&gt;""),"Closed","Not Closed"))</x:f>
      </x:c>
      <x:c r="O87" s="68"/>
      <x:c r="P87" s="72"/>
      <x:c r="Q87" s="68"/>
    </x:row>
    <x:row r="88" ht="24" customHeight="1">
      <x:c r="A88" s="67" t="str">
        <x:f>IF(B88="","",ROW()-5)</x:f>
      </x:c>
      <x:c r="B88" s="68"/>
      <x:c r="C88" s="68"/>
      <x:c r="D88" s="68"/>
      <x:c r="E88" s="72"/>
      <x:c r="F88" s="68"/>
      <x:c r="G88" s="74"/>
      <x:c r="H88" s="76"/>
      <x:c r="I88" s="68"/>
      <x:c r="J88" s="72"/>
      <x:c r="K88" s="74"/>
      <x:c r="L88" s="76"/>
      <x:c r="M88" s="351" t="str">
        <x:f>IF(OR(B88="",G88="",H88=""),"",IF(AND(K88&lt;&gt;"",L88&lt;&gt;""),(K88+L88)-(G88+H88),""))</x:f>
      </x:c>
      <x:c r="N88" s="70" t="str">
        <x:f>IF(B88="","",IF(AND(K88&lt;&gt;"",L88&lt;&gt;""),"Closed","Not Closed"))</x:f>
      </x:c>
      <x:c r="O88" s="68"/>
      <x:c r="P88" s="72"/>
      <x:c r="Q88" s="68"/>
    </x:row>
    <x:row r="89" ht="24" customHeight="1">
      <x:c r="A89" s="67" t="str">
        <x:f>IF(B89="","",ROW()-5)</x:f>
      </x:c>
      <x:c r="B89" s="68"/>
      <x:c r="C89" s="68"/>
      <x:c r="D89" s="68"/>
      <x:c r="E89" s="72"/>
      <x:c r="F89" s="68"/>
      <x:c r="G89" s="74"/>
      <x:c r="H89" s="76"/>
      <x:c r="I89" s="68"/>
      <x:c r="J89" s="72"/>
      <x:c r="K89" s="74"/>
      <x:c r="L89" s="76"/>
      <x:c r="M89" s="351" t="str">
        <x:f>IF(OR(B89="",G89="",H89=""),"",IF(AND(K89&lt;&gt;"",L89&lt;&gt;""),(K89+L89)-(G89+H89),""))</x:f>
      </x:c>
      <x:c r="N89" s="70" t="str">
        <x:f>IF(B89="","",IF(AND(K89&lt;&gt;"",L89&lt;&gt;""),"Closed","Not Closed"))</x:f>
      </x:c>
      <x:c r="O89" s="68"/>
      <x:c r="P89" s="72"/>
      <x:c r="Q89" s="68"/>
    </x:row>
    <x:row r="90" ht="24" customHeight="1">
      <x:c r="A90" s="67" t="str">
        <x:f>IF(B90="","",ROW()-5)</x:f>
      </x:c>
      <x:c r="B90" s="68"/>
      <x:c r="C90" s="68"/>
      <x:c r="D90" s="68"/>
      <x:c r="E90" s="72"/>
      <x:c r="F90" s="68"/>
      <x:c r="G90" s="74"/>
      <x:c r="H90" s="76"/>
      <x:c r="I90" s="68"/>
      <x:c r="J90" s="72"/>
      <x:c r="K90" s="74"/>
      <x:c r="L90" s="76"/>
      <x:c r="M90" s="351" t="str">
        <x:f>IF(OR(B90="",G90="",H90=""),"",IF(AND(K90&lt;&gt;"",L90&lt;&gt;""),(K90+L90)-(G90+H90),""))</x:f>
      </x:c>
      <x:c r="N90" s="70" t="str">
        <x:f>IF(B90="","",IF(AND(K90&lt;&gt;"",L90&lt;&gt;""),"Closed","Not Closed"))</x:f>
      </x:c>
      <x:c r="O90" s="68"/>
      <x:c r="P90" s="72"/>
      <x:c r="Q90" s="68"/>
    </x:row>
    <x:row r="91" ht="24" customHeight="1">
      <x:c r="A91" s="67" t="str">
        <x:f>IF(B91="","",ROW()-5)</x:f>
      </x:c>
      <x:c r="B91" s="68"/>
      <x:c r="C91" s="68"/>
      <x:c r="D91" s="68"/>
      <x:c r="E91" s="72"/>
      <x:c r="F91" s="68"/>
      <x:c r="G91" s="74"/>
      <x:c r="H91" s="76"/>
      <x:c r="I91" s="68"/>
      <x:c r="J91" s="72"/>
      <x:c r="K91" s="74"/>
      <x:c r="L91" s="76"/>
      <x:c r="M91" s="351" t="str">
        <x:f>IF(OR(B91="",G91="",H91=""),"",IF(AND(K91&lt;&gt;"",L91&lt;&gt;""),(K91+L91)-(G91+H91),""))</x:f>
      </x:c>
      <x:c r="N91" s="70" t="str">
        <x:f>IF(B91="","",IF(AND(K91&lt;&gt;"",L91&lt;&gt;""),"Closed","Not Closed"))</x:f>
      </x:c>
      <x:c r="O91" s="68"/>
      <x:c r="P91" s="72"/>
      <x:c r="Q91" s="68"/>
    </x:row>
    <x:row r="92" ht="24" customHeight="1">
      <x:c r="A92" s="67" t="str">
        <x:f>IF(B92="","",ROW()-5)</x:f>
      </x:c>
      <x:c r="B92" s="68"/>
      <x:c r="C92" s="68"/>
      <x:c r="D92" s="68"/>
      <x:c r="E92" s="72"/>
      <x:c r="F92" s="68"/>
      <x:c r="G92" s="74"/>
      <x:c r="H92" s="76"/>
      <x:c r="I92" s="68"/>
      <x:c r="J92" s="72"/>
      <x:c r="K92" s="74"/>
      <x:c r="L92" s="76"/>
      <x:c r="M92" s="351" t="str">
        <x:f>IF(OR(B92="",G92="",H92=""),"",IF(AND(K92&lt;&gt;"",L92&lt;&gt;""),(K92+L92)-(G92+H92),""))</x:f>
      </x:c>
      <x:c r="N92" s="70" t="str">
        <x:f>IF(B92="","",IF(AND(K92&lt;&gt;"",L92&lt;&gt;""),"Closed","Not Closed"))</x:f>
      </x:c>
      <x:c r="O92" s="68"/>
      <x:c r="P92" s="72"/>
      <x:c r="Q92" s="68"/>
    </x:row>
    <x:row r="93" ht="24" customHeight="1">
      <x:c r="A93" s="67" t="str">
        <x:f>IF(B93="","",ROW()-5)</x:f>
      </x:c>
      <x:c r="B93" s="68"/>
      <x:c r="C93" s="68"/>
      <x:c r="D93" s="68"/>
      <x:c r="E93" s="72"/>
      <x:c r="F93" s="68"/>
      <x:c r="G93" s="74"/>
      <x:c r="H93" s="76"/>
      <x:c r="I93" s="68"/>
      <x:c r="J93" s="72"/>
      <x:c r="K93" s="74"/>
      <x:c r="L93" s="76"/>
      <x:c r="M93" s="351" t="str">
        <x:f>IF(OR(B93="",G93="",H93=""),"",IF(AND(K93&lt;&gt;"",L93&lt;&gt;""),(K93+L93)-(G93+H93),""))</x:f>
      </x:c>
      <x:c r="N93" s="70" t="str">
        <x:f>IF(B93="","",IF(AND(K93&lt;&gt;"",L93&lt;&gt;""),"Closed","Not Closed"))</x:f>
      </x:c>
      <x:c r="O93" s="68"/>
      <x:c r="P93" s="72"/>
      <x:c r="Q93" s="68"/>
    </x:row>
    <x:row r="94" ht="24" customHeight="1">
      <x:c r="A94" s="67" t="str">
        <x:f>IF(B94="","",ROW()-5)</x:f>
      </x:c>
      <x:c r="B94" s="68"/>
      <x:c r="C94" s="68"/>
      <x:c r="D94" s="68"/>
      <x:c r="E94" s="72"/>
      <x:c r="F94" s="68"/>
      <x:c r="G94" s="74"/>
      <x:c r="H94" s="76"/>
      <x:c r="I94" s="68"/>
      <x:c r="J94" s="72"/>
      <x:c r="K94" s="74"/>
      <x:c r="L94" s="76"/>
      <x:c r="M94" s="351" t="str">
        <x:f>IF(OR(B94="",G94="",H94=""),"",IF(AND(K94&lt;&gt;"",L94&lt;&gt;""),(K94+L94)-(G94+H94),""))</x:f>
      </x:c>
      <x:c r="N94" s="70" t="str">
        <x:f>IF(B94="","",IF(AND(K94&lt;&gt;"",L94&lt;&gt;""),"Closed","Not Closed"))</x:f>
      </x:c>
      <x:c r="O94" s="68"/>
      <x:c r="P94" s="72"/>
      <x:c r="Q94" s="68"/>
    </x:row>
    <x:row r="95" ht="24" customHeight="1">
      <x:c r="A95" s="67" t="str">
        <x:f>IF(B95="","",ROW()-5)</x:f>
      </x:c>
      <x:c r="B95" s="68"/>
      <x:c r="C95" s="68"/>
      <x:c r="D95" s="68"/>
      <x:c r="E95" s="72"/>
      <x:c r="F95" s="68"/>
      <x:c r="G95" s="74"/>
      <x:c r="H95" s="76"/>
      <x:c r="I95" s="68"/>
      <x:c r="J95" s="72"/>
      <x:c r="K95" s="74"/>
      <x:c r="L95" s="76"/>
      <x:c r="M95" s="351" t="str">
        <x:f>IF(OR(B95="",G95="",H95=""),"",IF(AND(K95&lt;&gt;"",L95&lt;&gt;""),(K95+L95)-(G95+H95),""))</x:f>
      </x:c>
      <x:c r="N95" s="70" t="str">
        <x:f>IF(B95="","",IF(AND(K95&lt;&gt;"",L95&lt;&gt;""),"Closed","Not Closed"))</x:f>
      </x:c>
      <x:c r="O95" s="68"/>
      <x:c r="P95" s="72"/>
      <x:c r="Q95" s="68"/>
    </x:row>
    <x:row r="96" ht="24" customHeight="1">
      <x:c r="A96" s="67" t="str">
        <x:f>IF(B96="","",ROW()-5)</x:f>
      </x:c>
      <x:c r="B96" s="68"/>
      <x:c r="C96" s="68"/>
      <x:c r="D96" s="68"/>
      <x:c r="E96" s="72"/>
      <x:c r="F96" s="68"/>
      <x:c r="G96" s="74"/>
      <x:c r="H96" s="76"/>
      <x:c r="I96" s="68"/>
      <x:c r="J96" s="72"/>
      <x:c r="K96" s="74"/>
      <x:c r="L96" s="76"/>
      <x:c r="M96" s="351" t="str">
        <x:f>IF(OR(B96="",G96="",H96=""),"",IF(AND(K96&lt;&gt;"",L96&lt;&gt;""),(K96+L96)-(G96+H96),""))</x:f>
      </x:c>
      <x:c r="N96" s="70" t="str">
        <x:f>IF(B96="","",IF(AND(K96&lt;&gt;"",L96&lt;&gt;""),"Closed","Not Closed"))</x:f>
      </x:c>
      <x:c r="O96" s="68"/>
      <x:c r="P96" s="72"/>
      <x:c r="Q96" s="68"/>
    </x:row>
    <x:row r="97" ht="24" customHeight="1">
      <x:c r="A97" s="67" t="str">
        <x:f>IF(B97="","",ROW()-5)</x:f>
      </x:c>
      <x:c r="B97" s="68"/>
      <x:c r="C97" s="68"/>
      <x:c r="D97" s="68"/>
      <x:c r="E97" s="72"/>
      <x:c r="F97" s="68"/>
      <x:c r="G97" s="74"/>
      <x:c r="H97" s="76"/>
      <x:c r="I97" s="68"/>
      <x:c r="J97" s="72"/>
      <x:c r="K97" s="74"/>
      <x:c r="L97" s="76"/>
      <x:c r="M97" s="351" t="str">
        <x:f>IF(OR(B97="",G97="",H97=""),"",IF(AND(K97&lt;&gt;"",L97&lt;&gt;""),(K97+L97)-(G97+H97),""))</x:f>
      </x:c>
      <x:c r="N97" s="70" t="str">
        <x:f>IF(B97="","",IF(AND(K97&lt;&gt;"",L97&lt;&gt;""),"Closed","Not Closed"))</x:f>
      </x:c>
      <x:c r="O97" s="68"/>
      <x:c r="P97" s="72"/>
      <x:c r="Q97" s="68"/>
    </x:row>
    <x:row r="98" ht="24" customHeight="1">
      <x:c r="A98" s="67" t="str">
        <x:f>IF(B98="","",ROW()-5)</x:f>
      </x:c>
      <x:c r="B98" s="68"/>
      <x:c r="C98" s="68"/>
      <x:c r="D98" s="68"/>
      <x:c r="E98" s="72"/>
      <x:c r="F98" s="68"/>
      <x:c r="G98" s="74"/>
      <x:c r="H98" s="76"/>
      <x:c r="I98" s="68"/>
      <x:c r="J98" s="72"/>
      <x:c r="K98" s="74"/>
      <x:c r="L98" s="76"/>
      <x:c r="M98" s="351" t="str">
        <x:f>IF(OR(B98="",G98="",H98=""),"",IF(AND(K98&lt;&gt;"",L98&lt;&gt;""),(K98+L98)-(G98+H98),""))</x:f>
      </x:c>
      <x:c r="N98" s="70" t="str">
        <x:f>IF(B98="","",IF(AND(K98&lt;&gt;"",L98&lt;&gt;""),"Closed","Not Closed"))</x:f>
      </x:c>
      <x:c r="O98" s="68"/>
      <x:c r="P98" s="72"/>
      <x:c r="Q98" s="68"/>
    </x:row>
    <x:row r="99" ht="24" customHeight="1">
      <x:c r="A99" s="67" t="str">
        <x:f>IF(B99="","",ROW()-5)</x:f>
      </x:c>
      <x:c r="B99" s="68"/>
      <x:c r="C99" s="68"/>
      <x:c r="D99" s="68"/>
      <x:c r="E99" s="72"/>
      <x:c r="F99" s="68"/>
      <x:c r="G99" s="74"/>
      <x:c r="H99" s="76"/>
      <x:c r="I99" s="68"/>
      <x:c r="J99" s="72"/>
      <x:c r="K99" s="74"/>
      <x:c r="L99" s="76"/>
      <x:c r="M99" s="351" t="str">
        <x:f>IF(OR(B99="",G99="",H99=""),"",IF(AND(K99&lt;&gt;"",L99&lt;&gt;""),(K99+L99)-(G99+H99),""))</x:f>
      </x:c>
      <x:c r="N99" s="70" t="str">
        <x:f>IF(B99="","",IF(AND(K99&lt;&gt;"",L99&lt;&gt;""),"Closed","Not Closed"))</x:f>
      </x:c>
      <x:c r="O99" s="68"/>
      <x:c r="P99" s="72"/>
      <x:c r="Q99" s="68"/>
    </x:row>
    <x:row r="100" ht="24" customHeight="1">
      <x:c r="A100" s="67" t="str">
        <x:f>IF(B100="","",ROW()-5)</x:f>
      </x:c>
      <x:c r="B100" s="68"/>
      <x:c r="C100" s="68"/>
      <x:c r="D100" s="68"/>
      <x:c r="E100" s="72"/>
      <x:c r="F100" s="68"/>
      <x:c r="G100" s="74"/>
      <x:c r="H100" s="76"/>
      <x:c r="I100" s="68"/>
      <x:c r="J100" s="72"/>
      <x:c r="K100" s="74"/>
      <x:c r="L100" s="76"/>
      <x:c r="M100" s="351" t="str">
        <x:f>IF(OR(B100="",G100="",H100=""),"",IF(AND(K100&lt;&gt;"",L100&lt;&gt;""),(K100+L100)-(G100+H100),""))</x:f>
      </x:c>
      <x:c r="N100" s="70" t="str">
        <x:f>IF(B100="","",IF(AND(K100&lt;&gt;"",L100&lt;&gt;""),"Closed","Not Closed"))</x:f>
      </x:c>
      <x:c r="O100" s="68"/>
      <x:c r="P100" s="72"/>
      <x:c r="Q100" s="68"/>
    </x:row>
    <x:row r="101" ht="24" customHeight="1">
      <x:c r="A101" s="67" t="str">
        <x:f>IF(B101="","",ROW()-5)</x:f>
      </x:c>
      <x:c r="B101" s="68"/>
      <x:c r="C101" s="68"/>
      <x:c r="D101" s="68"/>
      <x:c r="E101" s="72"/>
      <x:c r="F101" s="68"/>
      <x:c r="G101" s="74"/>
      <x:c r="H101" s="76"/>
      <x:c r="I101" s="68"/>
      <x:c r="J101" s="72"/>
      <x:c r="K101" s="74"/>
      <x:c r="L101" s="76"/>
      <x:c r="M101" s="351" t="str">
        <x:f>IF(OR(B101="",G101="",H101=""),"",IF(AND(K101&lt;&gt;"",L101&lt;&gt;""),(K101+L101)-(G101+H101),""))</x:f>
      </x:c>
      <x:c r="N101" s="70" t="str">
        <x:f>IF(B101="","",IF(AND(K101&lt;&gt;"",L101&lt;&gt;""),"Closed","Not Closed"))</x:f>
      </x:c>
      <x:c r="O101" s="68"/>
      <x:c r="P101" s="72"/>
      <x:c r="Q101" s="68"/>
    </x:row>
    <x:row r="102" ht="24" customHeight="1">
      <x:c r="A102" s="67" t="str">
        <x:f>IF(B102="","",ROW()-5)</x:f>
      </x:c>
      <x:c r="B102" s="68"/>
      <x:c r="C102" s="68"/>
      <x:c r="D102" s="68"/>
      <x:c r="E102" s="72"/>
      <x:c r="F102" s="68"/>
      <x:c r="G102" s="74"/>
      <x:c r="H102" s="76"/>
      <x:c r="I102" s="68"/>
      <x:c r="J102" s="72"/>
      <x:c r="K102" s="74"/>
      <x:c r="L102" s="76"/>
      <x:c r="M102" s="351" t="str">
        <x:f>IF(OR(B102="",G102="",H102=""),"",IF(AND(K102&lt;&gt;"",L102&lt;&gt;""),(K102+L102)-(G102+H102),""))</x:f>
      </x:c>
      <x:c r="N102" s="70" t="str">
        <x:f>IF(B102="","",IF(AND(K102&lt;&gt;"",L102&lt;&gt;""),"Closed","Not Closed"))</x:f>
      </x:c>
      <x:c r="O102" s="68"/>
      <x:c r="P102" s="72"/>
      <x:c r="Q102" s="68"/>
    </x:row>
    <x:row r="103" ht="24" customHeight="1">
      <x:c r="A103" s="67" t="str">
        <x:f>IF(B103="","",ROW()-5)</x:f>
      </x:c>
      <x:c r="B103" s="68"/>
      <x:c r="C103" s="68"/>
      <x:c r="D103" s="68"/>
      <x:c r="E103" s="72"/>
      <x:c r="F103" s="68"/>
      <x:c r="G103" s="74"/>
      <x:c r="H103" s="76"/>
      <x:c r="I103" s="68"/>
      <x:c r="J103" s="72"/>
      <x:c r="K103" s="74"/>
      <x:c r="L103" s="76"/>
      <x:c r="M103" s="351" t="str">
        <x:f>IF(OR(B103="",G103="",H103=""),"",IF(AND(K103&lt;&gt;"",L103&lt;&gt;""),(K103+L103)-(G103+H103),""))</x:f>
      </x:c>
      <x:c r="N103" s="70" t="str">
        <x:f>IF(B103="","",IF(AND(K103&lt;&gt;"",L103&lt;&gt;""),"Closed","Not Closed"))</x:f>
      </x:c>
      <x:c r="O103" s="68"/>
      <x:c r="P103" s="72"/>
      <x:c r="Q103" s="68"/>
    </x:row>
    <x:row r="104" ht="24" customHeight="1">
      <x:c r="A104" s="67" t="str">
        <x:f>IF(B104="","",ROW()-5)</x:f>
      </x:c>
      <x:c r="B104" s="68"/>
      <x:c r="C104" s="68"/>
      <x:c r="D104" s="68"/>
      <x:c r="E104" s="72"/>
      <x:c r="F104" s="68"/>
      <x:c r="G104" s="74"/>
      <x:c r="H104" s="76"/>
      <x:c r="I104" s="68"/>
      <x:c r="J104" s="72"/>
      <x:c r="K104" s="74"/>
      <x:c r="L104" s="76"/>
      <x:c r="M104" s="351" t="str">
        <x:f>IF(OR(B104="",G104="",H104=""),"",IF(AND(K104&lt;&gt;"",L104&lt;&gt;""),(K104+L104)-(G104+H104),""))</x:f>
      </x:c>
      <x:c r="N104" s="70" t="str">
        <x:f>IF(B104="","",IF(AND(K104&lt;&gt;"",L104&lt;&gt;""),"Closed","Not Closed"))</x:f>
      </x:c>
      <x:c r="O104" s="68"/>
      <x:c r="P104" s="72"/>
      <x:c r="Q104" s="68"/>
    </x:row>
    <x:row r="105" ht="24" customHeight="1">
      <x:c r="A105" s="67" t="str">
        <x:f>IF(B105="","",ROW()-5)</x:f>
      </x:c>
      <x:c r="B105" s="68"/>
      <x:c r="C105" s="68"/>
      <x:c r="D105" s="68"/>
      <x:c r="E105" s="72"/>
      <x:c r="F105" s="68"/>
      <x:c r="G105" s="74"/>
      <x:c r="H105" s="76"/>
      <x:c r="I105" s="68"/>
      <x:c r="J105" s="72"/>
      <x:c r="K105" s="74"/>
      <x:c r="L105" s="76"/>
      <x:c r="M105" s="351" t="str">
        <x:f>IF(OR(B105="",G105="",H105=""),"",IF(AND(K105&lt;&gt;"",L105&lt;&gt;""),(K105+L105)-(G105+H105),""))</x:f>
      </x:c>
      <x:c r="N105" s="70" t="str">
        <x:f>IF(B105="","",IF(AND(K105&lt;&gt;"",L105&lt;&gt;""),"Closed","Not Closed"))</x:f>
      </x:c>
      <x:c r="O105" s="68"/>
      <x:c r="P105" s="72"/>
      <x:c r="Q105" s="68"/>
    </x:row>
    <x:row r="106" ht="24" customHeight="1">
      <x:c r="A106" s="67" t="str">
        <x:f>IF(B106="","",ROW()-5)</x:f>
      </x:c>
      <x:c r="B106" s="68"/>
      <x:c r="C106" s="68"/>
      <x:c r="D106" s="68"/>
      <x:c r="E106" s="72"/>
      <x:c r="F106" s="68"/>
      <x:c r="G106" s="74"/>
      <x:c r="H106" s="76"/>
      <x:c r="I106" s="68"/>
      <x:c r="J106" s="72"/>
      <x:c r="K106" s="74"/>
      <x:c r="L106" s="76"/>
      <x:c r="M106" s="351" t="str">
        <x:f>IF(OR(B106="",G106="",H106=""),"",IF(AND(K106&lt;&gt;"",L106&lt;&gt;""),(K106+L106)-(G106+H106),""))</x:f>
      </x:c>
      <x:c r="N106" s="70" t="str">
        <x:f>IF(B106="","",IF(AND(K106&lt;&gt;"",L106&lt;&gt;""),"Closed","Not Closed"))</x:f>
      </x:c>
      <x:c r="O106" s="68"/>
      <x:c r="P106" s="72"/>
      <x:c r="Q106" s="68"/>
    </x:row>
    <x:row r="107" ht="24" customHeight="1">
      <x:c r="A107" s="67" t="str">
        <x:f>IF(B107="","",ROW()-5)</x:f>
      </x:c>
      <x:c r="B107" s="68"/>
      <x:c r="C107" s="68"/>
      <x:c r="D107" s="68"/>
      <x:c r="E107" s="72"/>
      <x:c r="F107" s="68"/>
      <x:c r="G107" s="74"/>
      <x:c r="H107" s="76"/>
      <x:c r="I107" s="68"/>
      <x:c r="J107" s="72"/>
      <x:c r="K107" s="74"/>
      <x:c r="L107" s="76"/>
      <x:c r="M107" s="351" t="str">
        <x:f>IF(OR(B107="",G107="",H107=""),"",IF(AND(K107&lt;&gt;"",L107&lt;&gt;""),(K107+L107)-(G107+H107),""))</x:f>
      </x:c>
      <x:c r="N107" s="70" t="str">
        <x:f>IF(B107="","",IF(AND(K107&lt;&gt;"",L107&lt;&gt;""),"Closed","Not Closed"))</x:f>
      </x:c>
      <x:c r="O107" s="68"/>
      <x:c r="P107" s="72"/>
      <x:c r="Q107" s="68"/>
    </x:row>
    <x:row r="108" ht="24" customHeight="1">
      <x:c r="A108" s="67" t="str">
        <x:f>IF(B108="","",ROW()-5)</x:f>
      </x:c>
      <x:c r="B108" s="68"/>
      <x:c r="C108" s="68"/>
      <x:c r="D108" s="68"/>
      <x:c r="E108" s="72"/>
      <x:c r="F108" s="68"/>
      <x:c r="G108" s="74"/>
      <x:c r="H108" s="76"/>
      <x:c r="I108" s="68"/>
      <x:c r="J108" s="72"/>
      <x:c r="K108" s="74"/>
      <x:c r="L108" s="76"/>
      <x:c r="M108" s="351" t="str">
        <x:f>IF(OR(B108="",G108="",H108=""),"",IF(AND(K108&lt;&gt;"",L108&lt;&gt;""),(K108+L108)-(G108+H108),""))</x:f>
      </x:c>
      <x:c r="N108" s="70" t="str">
        <x:f>IF(B108="","",IF(AND(K108&lt;&gt;"",L108&lt;&gt;""),"Closed","Not Closed"))</x:f>
      </x:c>
      <x:c r="O108" s="68"/>
      <x:c r="P108" s="72"/>
      <x:c r="Q108" s="68"/>
    </x:row>
    <x:row r="109" ht="24" customHeight="1">
      <x:c r="A109" s="67" t="str">
        <x:f>IF(B109="","",ROW()-5)</x:f>
      </x:c>
      <x:c r="B109" s="68"/>
      <x:c r="C109" s="68"/>
      <x:c r="D109" s="68"/>
      <x:c r="E109" s="72"/>
      <x:c r="F109" s="68"/>
      <x:c r="G109" s="74"/>
      <x:c r="H109" s="76"/>
      <x:c r="I109" s="68"/>
      <x:c r="J109" s="72"/>
      <x:c r="K109" s="74"/>
      <x:c r="L109" s="76"/>
      <x:c r="M109" s="351" t="str">
        <x:f>IF(OR(B109="",G109="",H109=""),"",IF(AND(K109&lt;&gt;"",L109&lt;&gt;""),(K109+L109)-(G109+H109),""))</x:f>
      </x:c>
      <x:c r="N109" s="70" t="str">
        <x:f>IF(B109="","",IF(AND(K109&lt;&gt;"",L109&lt;&gt;""),"Closed","Not Closed"))</x:f>
      </x:c>
      <x:c r="O109" s="68"/>
      <x:c r="P109" s="72"/>
      <x:c r="Q109" s="68"/>
    </x:row>
    <x:row r="110" ht="24" customHeight="1">
      <x:c r="A110" s="67" t="str">
        <x:f>IF(B110="","",ROW()-5)</x:f>
      </x:c>
      <x:c r="B110" s="68"/>
      <x:c r="C110" s="68"/>
      <x:c r="D110" s="68"/>
      <x:c r="E110" s="72"/>
      <x:c r="F110" s="68"/>
      <x:c r="G110" s="74"/>
      <x:c r="H110" s="76"/>
      <x:c r="I110" s="68"/>
      <x:c r="J110" s="72"/>
      <x:c r="K110" s="74"/>
      <x:c r="L110" s="76"/>
      <x:c r="M110" s="351" t="str">
        <x:f>IF(OR(B110="",G110="",H110=""),"",IF(AND(K110&lt;&gt;"",L110&lt;&gt;""),(K110+L110)-(G110+H110),""))</x:f>
      </x:c>
      <x:c r="N110" s="70" t="str">
        <x:f>IF(B110="","",IF(AND(K110&lt;&gt;"",L110&lt;&gt;""),"Closed","Not Closed"))</x:f>
      </x:c>
      <x:c r="O110" s="68"/>
      <x:c r="P110" s="72"/>
      <x:c r="Q110" s="68"/>
    </x:row>
    <x:row r="111" ht="24" customHeight="1">
      <x:c r="A111" s="67" t="str">
        <x:f>IF(B111="","",ROW()-5)</x:f>
      </x:c>
      <x:c r="B111" s="68"/>
      <x:c r="C111" s="68"/>
      <x:c r="D111" s="68"/>
      <x:c r="E111" s="72"/>
      <x:c r="F111" s="68"/>
      <x:c r="G111" s="74"/>
      <x:c r="H111" s="76"/>
      <x:c r="I111" s="68"/>
      <x:c r="J111" s="72"/>
      <x:c r="K111" s="74"/>
      <x:c r="L111" s="76"/>
      <x:c r="M111" s="351" t="str">
        <x:f>IF(OR(B111="",G111="",H111=""),"",IF(AND(K111&lt;&gt;"",L111&lt;&gt;""),(K111+L111)-(G111+H111),""))</x:f>
      </x:c>
      <x:c r="N111" s="70" t="str">
        <x:f>IF(B111="","",IF(AND(K111&lt;&gt;"",L111&lt;&gt;""),"Closed","Not Closed"))</x:f>
      </x:c>
      <x:c r="O111" s="68"/>
      <x:c r="P111" s="72"/>
      <x:c r="Q111" s="68"/>
    </x:row>
    <x:row r="112" ht="24" customHeight="1">
      <x:c r="A112" s="67" t="str">
        <x:f>IF(B112="","",ROW()-5)</x:f>
      </x:c>
      <x:c r="B112" s="68"/>
      <x:c r="C112" s="68"/>
      <x:c r="D112" s="68"/>
      <x:c r="E112" s="72"/>
      <x:c r="F112" s="68"/>
      <x:c r="G112" s="74"/>
      <x:c r="H112" s="76"/>
      <x:c r="I112" s="68"/>
      <x:c r="J112" s="72"/>
      <x:c r="K112" s="74"/>
      <x:c r="L112" s="76"/>
      <x:c r="M112" s="351" t="str">
        <x:f>IF(OR(B112="",G112="",H112=""),"",IF(AND(K112&lt;&gt;"",L112&lt;&gt;""),(K112+L112)-(G112+H112),""))</x:f>
      </x:c>
      <x:c r="N112" s="70" t="str">
        <x:f>IF(B112="","",IF(AND(K112&lt;&gt;"",L112&lt;&gt;""),"Closed","Not Closed"))</x:f>
      </x:c>
      <x:c r="O112" s="68"/>
      <x:c r="P112" s="72"/>
      <x:c r="Q112" s="68"/>
    </x:row>
    <x:row r="113" ht="24" customHeight="1">
      <x:c r="A113" s="67" t="str">
        <x:f>IF(B113="","",ROW()-5)</x:f>
      </x:c>
      <x:c r="B113" s="68"/>
      <x:c r="C113" s="68"/>
      <x:c r="D113" s="68"/>
      <x:c r="E113" s="72"/>
      <x:c r="F113" s="68"/>
      <x:c r="G113" s="74"/>
      <x:c r="H113" s="76"/>
      <x:c r="I113" s="68"/>
      <x:c r="J113" s="72"/>
      <x:c r="K113" s="74"/>
      <x:c r="L113" s="76"/>
      <x:c r="M113" s="351" t="str">
        <x:f>IF(OR(B113="",G113="",H113=""),"",IF(AND(K113&lt;&gt;"",L113&lt;&gt;""),(K113+L113)-(G113+H113),""))</x:f>
      </x:c>
      <x:c r="N113" s="70" t="str">
        <x:f>IF(B113="","",IF(AND(K113&lt;&gt;"",L113&lt;&gt;""),"Closed","Not Closed"))</x:f>
      </x:c>
      <x:c r="O113" s="68"/>
      <x:c r="P113" s="72"/>
      <x:c r="Q113" s="68"/>
    </x:row>
    <x:row r="114" ht="24" customHeight="1">
      <x:c r="A114" s="67" t="str">
        <x:f>IF(B114="","",ROW()-5)</x:f>
      </x:c>
      <x:c r="B114" s="68"/>
      <x:c r="C114" s="68"/>
      <x:c r="D114" s="68"/>
      <x:c r="E114" s="72"/>
      <x:c r="F114" s="68"/>
      <x:c r="G114" s="74"/>
      <x:c r="H114" s="76"/>
      <x:c r="I114" s="68"/>
      <x:c r="J114" s="72"/>
      <x:c r="K114" s="74"/>
      <x:c r="L114" s="76"/>
      <x:c r="M114" s="351" t="str">
        <x:f>IF(OR(B114="",G114="",H114=""),"",IF(AND(K114&lt;&gt;"",L114&lt;&gt;""),(K114+L114)-(G114+H114),""))</x:f>
      </x:c>
      <x:c r="N114" s="70" t="str">
        <x:f>IF(B114="","",IF(AND(K114&lt;&gt;"",L114&lt;&gt;""),"Closed","Not Closed"))</x:f>
      </x:c>
      <x:c r="O114" s="68"/>
      <x:c r="P114" s="72"/>
      <x:c r="Q114" s="68"/>
    </x:row>
    <x:row r="115" ht="24" customHeight="1">
      <x:c r="A115" s="67" t="str">
        <x:f>IF(B115="","",ROW()-5)</x:f>
      </x:c>
      <x:c r="B115" s="68"/>
      <x:c r="C115" s="68"/>
      <x:c r="D115" s="68"/>
      <x:c r="E115" s="72"/>
      <x:c r="F115" s="68"/>
      <x:c r="G115" s="74"/>
      <x:c r="H115" s="76"/>
      <x:c r="I115" s="68"/>
      <x:c r="J115" s="72"/>
      <x:c r="K115" s="74"/>
      <x:c r="L115" s="76"/>
      <x:c r="M115" s="351" t="str">
        <x:f>IF(OR(B115="",G115="",H115=""),"",IF(AND(K115&lt;&gt;"",L115&lt;&gt;""),(K115+L115)-(G115+H115),""))</x:f>
      </x:c>
      <x:c r="N115" s="70" t="str">
        <x:f>IF(B115="","",IF(AND(K115&lt;&gt;"",L115&lt;&gt;""),"Closed","Not Closed"))</x:f>
      </x:c>
      <x:c r="O115" s="68"/>
      <x:c r="P115" s="72"/>
      <x:c r="Q115" s="68"/>
    </x:row>
    <x:row r="116" ht="24" customHeight="1">
      <x:c r="A116" s="67" t="str">
        <x:f>IF(B116="","",ROW()-5)</x:f>
      </x:c>
      <x:c r="B116" s="68"/>
      <x:c r="C116" s="68"/>
      <x:c r="D116" s="68"/>
      <x:c r="E116" s="72"/>
      <x:c r="F116" s="68"/>
      <x:c r="G116" s="74"/>
      <x:c r="H116" s="76"/>
      <x:c r="I116" s="68"/>
      <x:c r="J116" s="72"/>
      <x:c r="K116" s="74"/>
      <x:c r="L116" s="76"/>
      <x:c r="M116" s="351" t="str">
        <x:f>IF(OR(B116="",G116="",H116=""),"",IF(AND(K116&lt;&gt;"",L116&lt;&gt;""),(K116+L116)-(G116+H116),""))</x:f>
      </x:c>
      <x:c r="N116" s="70" t="str">
        <x:f>IF(B116="","",IF(AND(K116&lt;&gt;"",L116&lt;&gt;""),"Closed","Not Closed"))</x:f>
      </x:c>
      <x:c r="O116" s="68"/>
      <x:c r="P116" s="72"/>
      <x:c r="Q116" s="68"/>
    </x:row>
    <x:row r="117" ht="24" customHeight="1">
      <x:c r="A117" s="67" t="str">
        <x:f>IF(B117="","",ROW()-5)</x:f>
      </x:c>
      <x:c r="B117" s="68"/>
      <x:c r="C117" s="68"/>
      <x:c r="D117" s="68"/>
      <x:c r="E117" s="72"/>
      <x:c r="F117" s="68"/>
      <x:c r="G117" s="74"/>
      <x:c r="H117" s="76"/>
      <x:c r="I117" s="68"/>
      <x:c r="J117" s="72"/>
      <x:c r="K117" s="74"/>
      <x:c r="L117" s="76"/>
      <x:c r="M117" s="351" t="str">
        <x:f>IF(OR(B117="",G117="",H117=""),"",IF(AND(K117&lt;&gt;"",L117&lt;&gt;""),(K117+L117)-(G117+H117),""))</x:f>
      </x:c>
      <x:c r="N117" s="70" t="str">
        <x:f>IF(B117="","",IF(AND(K117&lt;&gt;"",L117&lt;&gt;""),"Closed","Not Closed"))</x:f>
      </x:c>
      <x:c r="O117" s="68"/>
      <x:c r="P117" s="72"/>
      <x:c r="Q117" s="68"/>
    </x:row>
    <x:row r="118" ht="24" customHeight="1">
      <x:c r="A118" s="67" t="str">
        <x:f>IF(B118="","",ROW()-5)</x:f>
      </x:c>
      <x:c r="B118" s="68"/>
      <x:c r="C118" s="68"/>
      <x:c r="D118" s="68"/>
      <x:c r="E118" s="72"/>
      <x:c r="F118" s="68"/>
      <x:c r="G118" s="74"/>
      <x:c r="H118" s="76"/>
      <x:c r="I118" s="68"/>
      <x:c r="J118" s="72"/>
      <x:c r="K118" s="74"/>
      <x:c r="L118" s="76"/>
      <x:c r="M118" s="351" t="str">
        <x:f>IF(OR(B118="",G118="",H118=""),"",IF(AND(K118&lt;&gt;"",L118&lt;&gt;""),(K118+L118)-(G118+H118),""))</x:f>
      </x:c>
      <x:c r="N118" s="70" t="str">
        <x:f>IF(B118="","",IF(AND(K118&lt;&gt;"",L118&lt;&gt;""),"Closed","Not Closed"))</x:f>
      </x:c>
      <x:c r="O118" s="68"/>
      <x:c r="P118" s="72"/>
      <x:c r="Q118" s="68"/>
    </x:row>
    <x:row r="119" ht="24" customHeight="1">
      <x:c r="A119" s="67" t="str">
        <x:f>IF(B119="","",ROW()-5)</x:f>
      </x:c>
      <x:c r="B119" s="68"/>
      <x:c r="C119" s="68"/>
      <x:c r="D119" s="68"/>
      <x:c r="E119" s="72"/>
      <x:c r="F119" s="68"/>
      <x:c r="G119" s="74"/>
      <x:c r="H119" s="76"/>
      <x:c r="I119" s="68"/>
      <x:c r="J119" s="72"/>
      <x:c r="K119" s="74"/>
      <x:c r="L119" s="76"/>
      <x:c r="M119" s="351" t="str">
        <x:f>IF(OR(B119="",G119="",H119=""),"",IF(AND(K119&lt;&gt;"",L119&lt;&gt;""),(K119+L119)-(G119+H119),""))</x:f>
      </x:c>
      <x:c r="N119" s="70" t="str">
        <x:f>IF(B119="","",IF(AND(K119&lt;&gt;"",L119&lt;&gt;""),"Closed","Not Closed"))</x:f>
      </x:c>
      <x:c r="O119" s="68"/>
      <x:c r="P119" s="72"/>
      <x:c r="Q119" s="68"/>
    </x:row>
    <x:row r="120" ht="24" customHeight="1">
      <x:c r="A120" s="67" t="str">
        <x:f>IF(B120="","",ROW()-5)</x:f>
      </x:c>
      <x:c r="B120" s="68"/>
      <x:c r="C120" s="68"/>
      <x:c r="D120" s="68"/>
      <x:c r="E120" s="72"/>
      <x:c r="F120" s="68"/>
      <x:c r="G120" s="74"/>
      <x:c r="H120" s="76"/>
      <x:c r="I120" s="68"/>
      <x:c r="J120" s="72"/>
      <x:c r="K120" s="74"/>
      <x:c r="L120" s="76"/>
      <x:c r="M120" s="351" t="str">
        <x:f>IF(OR(B120="",G120="",H120=""),"",IF(AND(K120&lt;&gt;"",L120&lt;&gt;""),(K120+L120)-(G120+H120),""))</x:f>
      </x:c>
      <x:c r="N120" s="70" t="str">
        <x:f>IF(B120="","",IF(AND(K120&lt;&gt;"",L120&lt;&gt;""),"Closed","Not Closed"))</x:f>
      </x:c>
      <x:c r="O120" s="68"/>
      <x:c r="P120" s="72"/>
      <x:c r="Q120" s="68"/>
    </x:row>
    <x:row r="121" ht="24" customHeight="1">
      <x:c r="A121" s="67" t="str">
        <x:f>IF(B121="","",ROW()-5)</x:f>
      </x:c>
      <x:c r="B121" s="68"/>
      <x:c r="C121" s="68"/>
      <x:c r="D121" s="68"/>
      <x:c r="E121" s="72"/>
      <x:c r="F121" s="68"/>
      <x:c r="G121" s="74"/>
      <x:c r="H121" s="76"/>
      <x:c r="I121" s="68"/>
      <x:c r="J121" s="72"/>
      <x:c r="K121" s="74"/>
      <x:c r="L121" s="76"/>
      <x:c r="M121" s="351" t="str">
        <x:f>IF(OR(B121="",G121="",H121=""),"",IF(AND(K121&lt;&gt;"",L121&lt;&gt;""),(K121+L121)-(G121+H121),""))</x:f>
      </x:c>
      <x:c r="N121" s="70" t="str">
        <x:f>IF(B121="","",IF(AND(K121&lt;&gt;"",L121&lt;&gt;""),"Closed","Not Closed"))</x:f>
      </x:c>
      <x:c r="O121" s="68"/>
      <x:c r="P121" s="72"/>
      <x:c r="Q121" s="68"/>
    </x:row>
    <x:row r="122" ht="24" customHeight="1">
      <x:c r="A122" s="67" t="str">
        <x:f>IF(B122="","",ROW()-5)</x:f>
      </x:c>
      <x:c r="B122" s="68"/>
      <x:c r="C122" s="68"/>
      <x:c r="D122" s="68"/>
      <x:c r="E122" s="72"/>
      <x:c r="F122" s="68"/>
      <x:c r="G122" s="74"/>
      <x:c r="H122" s="76"/>
      <x:c r="I122" s="68"/>
      <x:c r="J122" s="72"/>
      <x:c r="K122" s="74"/>
      <x:c r="L122" s="76"/>
      <x:c r="M122" s="351" t="str">
        <x:f>IF(OR(B122="",G122="",H122=""),"",IF(AND(K122&lt;&gt;"",L122&lt;&gt;""),(K122+L122)-(G122+H122),""))</x:f>
      </x:c>
      <x:c r="N122" s="70" t="str">
        <x:f>IF(B122="","",IF(AND(K122&lt;&gt;"",L122&lt;&gt;""),"Closed","Not Closed"))</x:f>
      </x:c>
      <x:c r="O122" s="68"/>
      <x:c r="P122" s="72"/>
      <x:c r="Q122" s="68"/>
    </x:row>
    <x:row r="123" ht="24" customHeight="1">
      <x:c r="A123" s="67" t="str">
        <x:f>IF(B123="","",ROW()-5)</x:f>
      </x:c>
      <x:c r="B123" s="68"/>
      <x:c r="C123" s="68"/>
      <x:c r="D123" s="68"/>
      <x:c r="E123" s="72"/>
      <x:c r="F123" s="68"/>
      <x:c r="G123" s="74"/>
      <x:c r="H123" s="76"/>
      <x:c r="I123" s="68"/>
      <x:c r="J123" s="72"/>
      <x:c r="K123" s="74"/>
      <x:c r="L123" s="76"/>
      <x:c r="M123" s="351" t="str">
        <x:f>IF(OR(B123="",G123="",H123=""),"",IF(AND(K123&lt;&gt;"",L123&lt;&gt;""),(K123+L123)-(G123+H123),""))</x:f>
      </x:c>
      <x:c r="N123" s="70" t="str">
        <x:f>IF(B123="","",IF(AND(K123&lt;&gt;"",L123&lt;&gt;""),"Closed","Not Closed"))</x:f>
      </x:c>
      <x:c r="O123" s="68"/>
      <x:c r="P123" s="72"/>
      <x:c r="Q123" s="68"/>
    </x:row>
    <x:row r="124" ht="24" customHeight="1">
      <x:c r="A124" s="67" t="str">
        <x:f>IF(B124="","",ROW()-5)</x:f>
      </x:c>
      <x:c r="B124" s="68"/>
      <x:c r="C124" s="68"/>
      <x:c r="D124" s="68"/>
      <x:c r="E124" s="72"/>
      <x:c r="F124" s="68"/>
      <x:c r="G124" s="74"/>
      <x:c r="H124" s="76"/>
      <x:c r="I124" s="68"/>
      <x:c r="J124" s="72"/>
      <x:c r="K124" s="74"/>
      <x:c r="L124" s="76"/>
      <x:c r="M124" s="351" t="str">
        <x:f>IF(OR(B124="",G124="",H124=""),"",IF(AND(K124&lt;&gt;"",L124&lt;&gt;""),(K124+L124)-(G124+H124),""))</x:f>
      </x:c>
      <x:c r="N124" s="70" t="str">
        <x:f>IF(B124="","",IF(AND(K124&lt;&gt;"",L124&lt;&gt;""),"Closed","Not Closed"))</x:f>
      </x:c>
      <x:c r="O124" s="68"/>
      <x:c r="P124" s="72"/>
      <x:c r="Q124" s="68"/>
    </x:row>
    <x:row r="125" ht="24" customHeight="1">
      <x:c r="A125" s="67" t="str">
        <x:f>IF(B125="","",ROW()-5)</x:f>
      </x:c>
      <x:c r="B125" s="68"/>
      <x:c r="C125" s="68"/>
      <x:c r="D125" s="68"/>
      <x:c r="E125" s="72"/>
      <x:c r="F125" s="68"/>
      <x:c r="G125" s="74"/>
      <x:c r="H125" s="76"/>
      <x:c r="I125" s="68"/>
      <x:c r="J125" s="72"/>
      <x:c r="K125" s="74"/>
      <x:c r="L125" s="76"/>
      <x:c r="M125" s="351" t="str">
        <x:f>IF(OR(B125="",G125="",H125=""),"",IF(AND(K125&lt;&gt;"",L125&lt;&gt;""),(K125+L125)-(G125+H125),""))</x:f>
      </x:c>
      <x:c r="N125" s="70" t="str">
        <x:f>IF(B125="","",IF(AND(K125&lt;&gt;"",L125&lt;&gt;""),"Closed","Not Closed"))</x:f>
      </x:c>
      <x:c r="O125" s="68"/>
      <x:c r="P125" s="72"/>
      <x:c r="Q125" s="68"/>
    </x:row>
    <x:row r="126" ht="24" customHeight="1">
      <x:c r="A126" s="67" t="str">
        <x:f>IF(B126="","",ROW()-5)</x:f>
      </x:c>
      <x:c r="B126" s="68"/>
      <x:c r="C126" s="68"/>
      <x:c r="D126" s="68"/>
      <x:c r="E126" s="72"/>
      <x:c r="F126" s="68"/>
      <x:c r="G126" s="74"/>
      <x:c r="H126" s="76"/>
      <x:c r="I126" s="68"/>
      <x:c r="J126" s="72"/>
      <x:c r="K126" s="74"/>
      <x:c r="L126" s="76"/>
      <x:c r="M126" s="351" t="str">
        <x:f>IF(OR(B126="",G126="",H126=""),"",IF(AND(K126&lt;&gt;"",L126&lt;&gt;""),(K126+L126)-(G126+H126),""))</x:f>
      </x:c>
      <x:c r="N126" s="70" t="str">
        <x:f>IF(B126="","",IF(AND(K126&lt;&gt;"",L126&lt;&gt;""),"Closed","Not Closed"))</x:f>
      </x:c>
      <x:c r="O126" s="68"/>
      <x:c r="P126" s="72"/>
      <x:c r="Q126" s="68"/>
    </x:row>
    <x:row r="127" ht="24" customHeight="1">
      <x:c r="A127" s="67" t="str">
        <x:f>IF(B127="","",ROW()-5)</x:f>
      </x:c>
      <x:c r="B127" s="68"/>
      <x:c r="C127" s="68"/>
      <x:c r="D127" s="68"/>
      <x:c r="E127" s="72"/>
      <x:c r="F127" s="68"/>
      <x:c r="G127" s="74"/>
      <x:c r="H127" s="76"/>
      <x:c r="I127" s="68"/>
      <x:c r="J127" s="72"/>
      <x:c r="K127" s="74"/>
      <x:c r="L127" s="76"/>
      <x:c r="M127" s="351" t="str">
        <x:f>IF(OR(B127="",G127="",H127=""),"",IF(AND(K127&lt;&gt;"",L127&lt;&gt;""),(K127+L127)-(G127+H127),""))</x:f>
      </x:c>
      <x:c r="N127" s="70" t="str">
        <x:f>IF(B127="","",IF(AND(K127&lt;&gt;"",L127&lt;&gt;""),"Closed","Not Closed"))</x:f>
      </x:c>
      <x:c r="O127" s="68"/>
      <x:c r="P127" s="72"/>
      <x:c r="Q127" s="68"/>
    </x:row>
    <x:row r="128" ht="24" customHeight="1">
      <x:c r="A128" s="67" t="str">
        <x:f>IF(B128="","",ROW()-5)</x:f>
      </x:c>
      <x:c r="B128" s="68"/>
      <x:c r="C128" s="68"/>
      <x:c r="D128" s="68"/>
      <x:c r="E128" s="72"/>
      <x:c r="F128" s="68"/>
      <x:c r="G128" s="74"/>
      <x:c r="H128" s="76"/>
      <x:c r="I128" s="68"/>
      <x:c r="J128" s="72"/>
      <x:c r="K128" s="74"/>
      <x:c r="L128" s="76"/>
      <x:c r="M128" s="351" t="str">
        <x:f>IF(OR(B128="",G128="",H128=""),"",IF(AND(K128&lt;&gt;"",L128&lt;&gt;""),(K128+L128)-(G128+H128),""))</x:f>
      </x:c>
      <x:c r="N128" s="70" t="str">
        <x:f>IF(B128="","",IF(AND(K128&lt;&gt;"",L128&lt;&gt;""),"Closed","Not Closed"))</x:f>
      </x:c>
      <x:c r="O128" s="68"/>
      <x:c r="P128" s="72"/>
      <x:c r="Q128" s="68"/>
    </x:row>
    <x:row r="129" ht="24" customHeight="1">
      <x:c r="A129" s="67" t="str">
        <x:f>IF(B129="","",ROW()-5)</x:f>
      </x:c>
      <x:c r="B129" s="68"/>
      <x:c r="C129" s="68"/>
      <x:c r="D129" s="68"/>
      <x:c r="E129" s="72"/>
      <x:c r="F129" s="68"/>
      <x:c r="G129" s="74"/>
      <x:c r="H129" s="76"/>
      <x:c r="I129" s="68"/>
      <x:c r="J129" s="72"/>
      <x:c r="K129" s="74"/>
      <x:c r="L129" s="76"/>
      <x:c r="M129" s="351" t="str">
        <x:f>IF(OR(B129="",G129="",H129=""),"",IF(AND(K129&lt;&gt;"",L129&lt;&gt;""),(K129+L129)-(G129+H129),""))</x:f>
      </x:c>
      <x:c r="N129" s="70" t="str">
        <x:f>IF(B129="","",IF(AND(K129&lt;&gt;"",L129&lt;&gt;""),"Closed","Not Closed"))</x:f>
      </x:c>
      <x:c r="O129" s="68"/>
      <x:c r="P129" s="72"/>
      <x:c r="Q129" s="68"/>
    </x:row>
    <x:row r="130" ht="24" customHeight="1">
      <x:c r="A130" s="67" t="str">
        <x:f>IF(B130="","",ROW()-5)</x:f>
      </x:c>
      <x:c r="B130" s="68"/>
      <x:c r="C130" s="68"/>
      <x:c r="D130" s="68"/>
      <x:c r="E130" s="72"/>
      <x:c r="F130" s="68"/>
      <x:c r="G130" s="74"/>
      <x:c r="H130" s="76"/>
      <x:c r="I130" s="68"/>
      <x:c r="J130" s="72"/>
      <x:c r="K130" s="74"/>
      <x:c r="L130" s="76"/>
      <x:c r="M130" s="351" t="str">
        <x:f>IF(OR(B130="",G130="",H130=""),"",IF(AND(K130&lt;&gt;"",L130&lt;&gt;""),(K130+L130)-(G130+H130),""))</x:f>
      </x:c>
      <x:c r="N130" s="70" t="str">
        <x:f>IF(B130="","",IF(AND(K130&lt;&gt;"",L130&lt;&gt;""),"Closed","Not Closed"))</x:f>
      </x:c>
      <x:c r="O130" s="68"/>
      <x:c r="P130" s="72"/>
      <x:c r="Q130" s="68"/>
    </x:row>
    <x:row r="131" ht="24" customHeight="1">
      <x:c r="A131" s="67" t="str">
        <x:f>IF(B131="","",ROW()-5)</x:f>
      </x:c>
      <x:c r="B131" s="68"/>
      <x:c r="C131" s="68"/>
      <x:c r="D131" s="68"/>
      <x:c r="E131" s="72"/>
      <x:c r="F131" s="68"/>
      <x:c r="G131" s="74"/>
      <x:c r="H131" s="76"/>
      <x:c r="I131" s="68"/>
      <x:c r="J131" s="72"/>
      <x:c r="K131" s="74"/>
      <x:c r="L131" s="76"/>
      <x:c r="M131" s="351" t="str">
        <x:f>IF(OR(B131="",G131="",H131=""),"",IF(AND(K131&lt;&gt;"",L131&lt;&gt;""),(K131+L131)-(G131+H131),""))</x:f>
      </x:c>
      <x:c r="N131" s="70" t="str">
        <x:f>IF(B131="","",IF(AND(K131&lt;&gt;"",L131&lt;&gt;""),"Closed","Not Closed"))</x:f>
      </x:c>
      <x:c r="O131" s="68"/>
      <x:c r="P131" s="72"/>
      <x:c r="Q131" s="68"/>
    </x:row>
    <x:row r="132" ht="24" customHeight="1">
      <x:c r="A132" s="67" t="str">
        <x:f>IF(B132="","",ROW()-5)</x:f>
      </x:c>
      <x:c r="B132" s="68"/>
      <x:c r="C132" s="68"/>
      <x:c r="D132" s="68"/>
      <x:c r="E132" s="72"/>
      <x:c r="F132" s="68"/>
      <x:c r="G132" s="74"/>
      <x:c r="H132" s="76"/>
      <x:c r="I132" s="68"/>
      <x:c r="J132" s="72"/>
      <x:c r="K132" s="74"/>
      <x:c r="L132" s="76"/>
      <x:c r="M132" s="351" t="str">
        <x:f>IF(OR(B132="",G132="",H132=""),"",IF(AND(K132&lt;&gt;"",L132&lt;&gt;""),(K132+L132)-(G132+H132),""))</x:f>
      </x:c>
      <x:c r="N132" s="70" t="str">
        <x:f>IF(B132="","",IF(AND(K132&lt;&gt;"",L132&lt;&gt;""),"Closed","Not Closed"))</x:f>
      </x:c>
      <x:c r="O132" s="68"/>
      <x:c r="P132" s="72"/>
      <x:c r="Q132" s="68"/>
    </x:row>
    <x:row r="133" ht="24" customHeight="1">
      <x:c r="A133" s="67" t="str">
        <x:f>IF(B133="","",ROW()-5)</x:f>
      </x:c>
      <x:c r="B133" s="68"/>
      <x:c r="C133" s="68"/>
      <x:c r="D133" s="68"/>
      <x:c r="E133" s="72"/>
      <x:c r="F133" s="68"/>
      <x:c r="G133" s="74"/>
      <x:c r="H133" s="76"/>
      <x:c r="I133" s="68"/>
      <x:c r="J133" s="72"/>
      <x:c r="K133" s="74"/>
      <x:c r="L133" s="76"/>
      <x:c r="M133" s="351" t="str">
        <x:f>IF(OR(B133="",G133="",H133=""),"",IF(AND(K133&lt;&gt;"",L133&lt;&gt;""),(K133+L133)-(G133+H133),""))</x:f>
      </x:c>
      <x:c r="N133" s="70" t="str">
        <x:f>IF(B133="","",IF(AND(K133&lt;&gt;"",L133&lt;&gt;""),"Closed","Not Closed"))</x:f>
      </x:c>
      <x:c r="O133" s="68"/>
      <x:c r="P133" s="72"/>
      <x:c r="Q133" s="68"/>
    </x:row>
    <x:row r="134" ht="24" customHeight="1">
      <x:c r="A134" s="67" t="str">
        <x:f>IF(B134="","",ROW()-5)</x:f>
      </x:c>
      <x:c r="B134" s="68"/>
      <x:c r="C134" s="68"/>
      <x:c r="D134" s="68"/>
      <x:c r="E134" s="72"/>
      <x:c r="F134" s="68"/>
      <x:c r="G134" s="74"/>
      <x:c r="H134" s="76"/>
      <x:c r="I134" s="68"/>
      <x:c r="J134" s="72"/>
      <x:c r="K134" s="74"/>
      <x:c r="L134" s="76"/>
      <x:c r="M134" s="351" t="str">
        <x:f>IF(OR(B134="",G134="",H134=""),"",IF(AND(K134&lt;&gt;"",L134&lt;&gt;""),(K134+L134)-(G134+H134),""))</x:f>
      </x:c>
      <x:c r="N134" s="70" t="str">
        <x:f>IF(B134="","",IF(AND(K134&lt;&gt;"",L134&lt;&gt;""),"Closed","Not Closed"))</x:f>
      </x:c>
      <x:c r="O134" s="68"/>
      <x:c r="P134" s="72"/>
      <x:c r="Q134" s="68"/>
    </x:row>
    <x:row r="135" ht="24" customHeight="1">
      <x:c r="A135" s="67" t="str">
        <x:f>IF(B135="","",ROW()-5)</x:f>
      </x:c>
      <x:c r="B135" s="68"/>
      <x:c r="C135" s="68"/>
      <x:c r="D135" s="68"/>
      <x:c r="E135" s="72"/>
      <x:c r="F135" s="68"/>
      <x:c r="G135" s="74"/>
      <x:c r="H135" s="76"/>
      <x:c r="I135" s="68"/>
      <x:c r="J135" s="72"/>
      <x:c r="K135" s="74"/>
      <x:c r="L135" s="76"/>
      <x:c r="M135" s="351" t="str">
        <x:f>IF(OR(B135="",G135="",H135=""),"",IF(AND(K135&lt;&gt;"",L135&lt;&gt;""),(K135+L135)-(G135+H135),""))</x:f>
      </x:c>
      <x:c r="N135" s="70" t="str">
        <x:f>IF(B135="","",IF(AND(K135&lt;&gt;"",L135&lt;&gt;""),"Closed","Not Closed"))</x:f>
      </x:c>
      <x:c r="O135" s="68"/>
      <x:c r="P135" s="72"/>
      <x:c r="Q135" s="68"/>
    </x:row>
    <x:row r="136" ht="24" customHeight="1">
      <x:c r="A136" s="67" t="str">
        <x:f>IF(B136="","",ROW()-5)</x:f>
      </x:c>
      <x:c r="B136" s="68"/>
      <x:c r="C136" s="68"/>
      <x:c r="D136" s="68"/>
      <x:c r="E136" s="72"/>
      <x:c r="F136" s="68"/>
      <x:c r="G136" s="74"/>
      <x:c r="H136" s="76"/>
      <x:c r="I136" s="68"/>
      <x:c r="J136" s="72"/>
      <x:c r="K136" s="74"/>
      <x:c r="L136" s="76"/>
      <x:c r="M136" s="351" t="str">
        <x:f>IF(OR(B136="",G136="",H136=""),"",IF(AND(K136&lt;&gt;"",L136&lt;&gt;""),(K136+L136)-(G136+H136),""))</x:f>
      </x:c>
      <x:c r="N136" s="70" t="str">
        <x:f>IF(B136="","",IF(AND(K136&lt;&gt;"",L136&lt;&gt;""),"Closed","Not Closed"))</x:f>
      </x:c>
      <x:c r="O136" s="68"/>
      <x:c r="P136" s="72"/>
      <x:c r="Q136" s="68"/>
    </x:row>
    <x:row r="137" ht="24" customHeight="1">
      <x:c r="A137" s="67" t="str">
        <x:f>IF(B137="","",ROW()-5)</x:f>
      </x:c>
      <x:c r="B137" s="68"/>
      <x:c r="C137" s="68"/>
      <x:c r="D137" s="68"/>
      <x:c r="E137" s="72"/>
      <x:c r="F137" s="68"/>
      <x:c r="G137" s="74"/>
      <x:c r="H137" s="76"/>
      <x:c r="I137" s="68"/>
      <x:c r="J137" s="72"/>
      <x:c r="K137" s="74"/>
      <x:c r="L137" s="76"/>
      <x:c r="M137" s="351" t="str">
        <x:f>IF(OR(B137="",G137="",H137=""),"",IF(AND(K137&lt;&gt;"",L137&lt;&gt;""),(K137+L137)-(G137+H137),""))</x:f>
      </x:c>
      <x:c r="N137" s="70" t="str">
        <x:f>IF(B137="","",IF(AND(K137&lt;&gt;"",L137&lt;&gt;""),"Closed","Not Closed"))</x:f>
      </x:c>
      <x:c r="O137" s="68"/>
      <x:c r="P137" s="72"/>
      <x:c r="Q137" s="68"/>
    </x:row>
    <x:row r="138" ht="24" customHeight="1">
      <x:c r="A138" s="67" t="str">
        <x:f>IF(B138="","",ROW()-5)</x:f>
      </x:c>
      <x:c r="B138" s="68"/>
      <x:c r="C138" s="68"/>
      <x:c r="D138" s="68"/>
      <x:c r="E138" s="72"/>
      <x:c r="F138" s="68"/>
      <x:c r="G138" s="74"/>
      <x:c r="H138" s="76"/>
      <x:c r="I138" s="68"/>
      <x:c r="J138" s="72"/>
      <x:c r="K138" s="74"/>
      <x:c r="L138" s="76"/>
      <x:c r="M138" s="351" t="str">
        <x:f>IF(OR(B138="",G138="",H138=""),"",IF(AND(K138&lt;&gt;"",L138&lt;&gt;""),(K138+L138)-(G138+H138),""))</x:f>
      </x:c>
      <x:c r="N138" s="70" t="str">
        <x:f>IF(B138="","",IF(AND(K138&lt;&gt;"",L138&lt;&gt;""),"Closed","Not Closed"))</x:f>
      </x:c>
      <x:c r="O138" s="68"/>
      <x:c r="P138" s="72"/>
      <x:c r="Q138" s="68"/>
    </x:row>
    <x:row r="139" ht="24" customHeight="1">
      <x:c r="A139" s="67" t="str">
        <x:f>IF(B139="","",ROW()-5)</x:f>
      </x:c>
      <x:c r="B139" s="68"/>
      <x:c r="C139" s="68"/>
      <x:c r="D139" s="68"/>
      <x:c r="E139" s="72"/>
      <x:c r="F139" s="68"/>
      <x:c r="G139" s="74"/>
      <x:c r="H139" s="76"/>
      <x:c r="I139" s="68"/>
      <x:c r="J139" s="72"/>
      <x:c r="K139" s="74"/>
      <x:c r="L139" s="76"/>
      <x:c r="M139" s="351" t="str">
        <x:f>IF(OR(B139="",G139="",H139=""),"",IF(AND(K139&lt;&gt;"",L139&lt;&gt;""),(K139+L139)-(G139+H139),""))</x:f>
      </x:c>
      <x:c r="N139" s="70" t="str">
        <x:f>IF(B139="","",IF(AND(K139&lt;&gt;"",L139&lt;&gt;""),"Closed","Not Closed"))</x:f>
      </x:c>
      <x:c r="O139" s="68"/>
      <x:c r="P139" s="72"/>
      <x:c r="Q139" s="68"/>
    </x:row>
    <x:row r="140" ht="24" customHeight="1">
      <x:c r="A140" s="67" t="str">
        <x:f>IF(B140="","",ROW()-5)</x:f>
      </x:c>
      <x:c r="B140" s="68"/>
      <x:c r="C140" s="68"/>
      <x:c r="D140" s="68"/>
      <x:c r="E140" s="72"/>
      <x:c r="F140" s="68"/>
      <x:c r="G140" s="74"/>
      <x:c r="H140" s="76"/>
      <x:c r="I140" s="68"/>
      <x:c r="J140" s="72"/>
      <x:c r="K140" s="74"/>
      <x:c r="L140" s="76"/>
      <x:c r="M140" s="351" t="str">
        <x:f>IF(OR(B140="",G140="",H140=""),"",IF(AND(K140&lt;&gt;"",L140&lt;&gt;""),(K140+L140)-(G140+H140),""))</x:f>
      </x:c>
      <x:c r="N140" s="70" t="str">
        <x:f>IF(B140="","",IF(AND(K140&lt;&gt;"",L140&lt;&gt;""),"Closed","Not Closed"))</x:f>
      </x:c>
      <x:c r="O140" s="68"/>
      <x:c r="P140" s="72"/>
      <x:c r="Q140" s="68"/>
    </x:row>
    <x:row r="141" ht="24" customHeight="1">
      <x:c r="A141" s="67" t="str">
        <x:f>IF(B141="","",ROW()-5)</x:f>
      </x:c>
      <x:c r="B141" s="68"/>
      <x:c r="C141" s="68"/>
      <x:c r="D141" s="68"/>
      <x:c r="E141" s="72"/>
      <x:c r="F141" s="68"/>
      <x:c r="G141" s="74"/>
      <x:c r="H141" s="76"/>
      <x:c r="I141" s="68"/>
      <x:c r="J141" s="72"/>
      <x:c r="K141" s="74"/>
      <x:c r="L141" s="76"/>
      <x:c r="M141" s="351" t="str">
        <x:f>IF(OR(B141="",G141="",H141=""),"",IF(AND(K141&lt;&gt;"",L141&lt;&gt;""),(K141+L141)-(G141+H141),""))</x:f>
      </x:c>
      <x:c r="N141" s="70" t="str">
        <x:f>IF(B141="","",IF(AND(K141&lt;&gt;"",L141&lt;&gt;""),"Closed","Not Closed"))</x:f>
      </x:c>
      <x:c r="O141" s="68"/>
      <x:c r="P141" s="72"/>
      <x:c r="Q141" s="68"/>
    </x:row>
    <x:row r="142" ht="24" customHeight="1">
      <x:c r="A142" s="67" t="str">
        <x:f>IF(B142="","",ROW()-5)</x:f>
      </x:c>
      <x:c r="B142" s="68"/>
      <x:c r="C142" s="68"/>
      <x:c r="D142" s="68"/>
      <x:c r="E142" s="72"/>
      <x:c r="F142" s="68"/>
      <x:c r="G142" s="74"/>
      <x:c r="H142" s="76"/>
      <x:c r="I142" s="68"/>
      <x:c r="J142" s="72"/>
      <x:c r="K142" s="74"/>
      <x:c r="L142" s="76"/>
      <x:c r="M142" s="351" t="str">
        <x:f>IF(OR(B142="",G142="",H142=""),"",IF(AND(K142&lt;&gt;"",L142&lt;&gt;""),(K142+L142)-(G142+H142),""))</x:f>
      </x:c>
      <x:c r="N142" s="70" t="str">
        <x:f>IF(B142="","",IF(AND(K142&lt;&gt;"",L142&lt;&gt;""),"Closed","Not Closed"))</x:f>
      </x:c>
      <x:c r="O142" s="68"/>
      <x:c r="P142" s="72"/>
      <x:c r="Q142" s="68"/>
    </x:row>
    <x:row r="143" ht="24" customHeight="1">
      <x:c r="A143" s="67" t="str">
        <x:f>IF(B143="","",ROW()-5)</x:f>
      </x:c>
      <x:c r="B143" s="68"/>
      <x:c r="C143" s="68"/>
      <x:c r="D143" s="68"/>
      <x:c r="E143" s="72"/>
      <x:c r="F143" s="68"/>
      <x:c r="G143" s="74"/>
      <x:c r="H143" s="76"/>
      <x:c r="I143" s="68"/>
      <x:c r="J143" s="72"/>
      <x:c r="K143" s="74"/>
      <x:c r="L143" s="76"/>
      <x:c r="M143" s="351" t="str">
        <x:f>IF(OR(B143="",G143="",H143=""),"",IF(AND(K143&lt;&gt;"",L143&lt;&gt;""),(K143+L143)-(G143+H143),""))</x:f>
      </x:c>
      <x:c r="N143" s="70" t="str">
        <x:f>IF(B143="","",IF(AND(K143&lt;&gt;"",L143&lt;&gt;""),"Closed","Not Closed"))</x:f>
      </x:c>
      <x:c r="O143" s="68"/>
      <x:c r="P143" s="72"/>
      <x:c r="Q143" s="68"/>
    </x:row>
    <x:row r="144" ht="24" customHeight="1">
      <x:c r="A144" s="67" t="str">
        <x:f>IF(B144="","",ROW()-5)</x:f>
      </x:c>
      <x:c r="B144" s="68"/>
      <x:c r="C144" s="68"/>
      <x:c r="D144" s="68"/>
      <x:c r="E144" s="72"/>
      <x:c r="F144" s="68"/>
      <x:c r="G144" s="74"/>
      <x:c r="H144" s="76"/>
      <x:c r="I144" s="68"/>
      <x:c r="J144" s="72"/>
      <x:c r="K144" s="74"/>
      <x:c r="L144" s="76"/>
      <x:c r="M144" s="351" t="str">
        <x:f>IF(OR(B144="",G144="",H144=""),"",IF(AND(K144&lt;&gt;"",L144&lt;&gt;""),(K144+L144)-(G144+H144),""))</x:f>
      </x:c>
      <x:c r="N144" s="70" t="str">
        <x:f>IF(B144="","",IF(AND(K144&lt;&gt;"",L144&lt;&gt;""),"Closed","Not Closed"))</x:f>
      </x:c>
      <x:c r="O144" s="68"/>
      <x:c r="P144" s="72"/>
      <x:c r="Q144" s="68"/>
    </x:row>
    <x:row r="145" ht="24" customHeight="1">
      <x:c r="A145" s="67" t="str">
        <x:f>IF(B145="","",ROW()-5)</x:f>
      </x:c>
      <x:c r="B145" s="68"/>
      <x:c r="C145" s="68"/>
      <x:c r="D145" s="68"/>
      <x:c r="E145" s="72"/>
      <x:c r="F145" s="68"/>
      <x:c r="G145" s="74"/>
      <x:c r="H145" s="76"/>
      <x:c r="I145" s="68"/>
      <x:c r="J145" s="72"/>
      <x:c r="K145" s="74"/>
      <x:c r="L145" s="76"/>
      <x:c r="M145" s="351" t="str">
        <x:f>IF(OR(B145="",G145="",H145=""),"",IF(AND(K145&lt;&gt;"",L145&lt;&gt;""),(K145+L145)-(G145+H145),""))</x:f>
      </x:c>
      <x:c r="N145" s="70" t="str">
        <x:f>IF(B145="","",IF(AND(K145&lt;&gt;"",L145&lt;&gt;""),"Closed","Not Closed"))</x:f>
      </x:c>
      <x:c r="O145" s="68"/>
      <x:c r="P145" s="72"/>
      <x:c r="Q145" s="68"/>
    </x:row>
    <x:row r="146" ht="24" customHeight="1">
      <x:c r="A146" s="67" t="str">
        <x:f>IF(B146="","",ROW()-5)</x:f>
      </x:c>
      <x:c r="B146" s="68"/>
      <x:c r="C146" s="68"/>
      <x:c r="D146" s="68"/>
      <x:c r="E146" s="72"/>
      <x:c r="F146" s="68"/>
      <x:c r="G146" s="74"/>
      <x:c r="H146" s="76"/>
      <x:c r="I146" s="68"/>
      <x:c r="J146" s="72"/>
      <x:c r="K146" s="74"/>
      <x:c r="L146" s="76"/>
      <x:c r="M146" s="351" t="str">
        <x:f>IF(OR(B146="",G146="",H146=""),"",IF(AND(K146&lt;&gt;"",L146&lt;&gt;""),(K146+L146)-(G146+H146),""))</x:f>
      </x:c>
      <x:c r="N146" s="70" t="str">
        <x:f>IF(B146="","",IF(AND(K146&lt;&gt;"",L146&lt;&gt;""),"Closed","Not Closed"))</x:f>
      </x:c>
      <x:c r="O146" s="68"/>
      <x:c r="P146" s="72"/>
      <x:c r="Q146" s="68"/>
    </x:row>
    <x:row r="147" ht="24" customHeight="1">
      <x:c r="A147" s="67" t="str">
        <x:f>IF(B147="","",ROW()-5)</x:f>
      </x:c>
      <x:c r="B147" s="68"/>
      <x:c r="C147" s="68"/>
      <x:c r="D147" s="68"/>
      <x:c r="E147" s="72"/>
      <x:c r="F147" s="68"/>
      <x:c r="G147" s="74"/>
      <x:c r="H147" s="76"/>
      <x:c r="I147" s="68"/>
      <x:c r="J147" s="72"/>
      <x:c r="K147" s="74"/>
      <x:c r="L147" s="76"/>
      <x:c r="M147" s="351" t="str">
        <x:f>IF(OR(B147="",G147="",H147=""),"",IF(AND(K147&lt;&gt;"",L147&lt;&gt;""),(K147+L147)-(G147+H147),""))</x:f>
      </x:c>
      <x:c r="N147" s="70" t="str">
        <x:f>IF(B147="","",IF(AND(K147&lt;&gt;"",L147&lt;&gt;""),"Closed","Not Closed"))</x:f>
      </x:c>
      <x:c r="O147" s="68"/>
      <x:c r="P147" s="72"/>
      <x:c r="Q147" s="68"/>
    </x:row>
    <x:row r="148" ht="24" customHeight="1">
      <x:c r="A148" s="67" t="str">
        <x:f>IF(B148="","",ROW()-5)</x:f>
      </x:c>
      <x:c r="B148" s="68"/>
      <x:c r="C148" s="68"/>
      <x:c r="D148" s="68"/>
      <x:c r="E148" s="72"/>
      <x:c r="F148" s="68"/>
      <x:c r="G148" s="74"/>
      <x:c r="H148" s="76"/>
      <x:c r="I148" s="68"/>
      <x:c r="J148" s="72"/>
      <x:c r="K148" s="74"/>
      <x:c r="L148" s="76"/>
      <x:c r="M148" s="351" t="str">
        <x:f>IF(OR(B148="",G148="",H148=""),"",IF(AND(K148&lt;&gt;"",L148&lt;&gt;""),(K148+L148)-(G148+H148),""))</x:f>
      </x:c>
      <x:c r="N148" s="70" t="str">
        <x:f>IF(B148="","",IF(AND(K148&lt;&gt;"",L148&lt;&gt;""),"Closed","Not Closed"))</x:f>
      </x:c>
      <x:c r="O148" s="68"/>
      <x:c r="P148" s="72"/>
      <x:c r="Q148" s="68"/>
    </x:row>
    <x:row r="149" ht="24" customHeight="1">
      <x:c r="A149" s="67" t="str">
        <x:f>IF(B149="","",ROW()-5)</x:f>
      </x:c>
      <x:c r="B149" s="68"/>
      <x:c r="C149" s="68"/>
      <x:c r="D149" s="68"/>
      <x:c r="E149" s="72"/>
      <x:c r="F149" s="68"/>
      <x:c r="G149" s="74"/>
      <x:c r="H149" s="76"/>
      <x:c r="I149" s="68"/>
      <x:c r="J149" s="72"/>
      <x:c r="K149" s="74"/>
      <x:c r="L149" s="76"/>
      <x:c r="M149" s="351" t="str">
        <x:f>IF(OR(B149="",G149="",H149=""),"",IF(AND(K149&lt;&gt;"",L149&lt;&gt;""),(K149+L149)-(G149+H149),""))</x:f>
      </x:c>
      <x:c r="N149" s="70" t="str">
        <x:f>IF(B149="","",IF(AND(K149&lt;&gt;"",L149&lt;&gt;""),"Closed","Not Closed"))</x:f>
      </x:c>
      <x:c r="O149" s="68"/>
      <x:c r="P149" s="72"/>
      <x:c r="Q149" s="68"/>
    </x:row>
    <x:row r="150" ht="24" customHeight="1">
      <x:c r="A150" s="67" t="str">
        <x:f>IF(B150="","",ROW()-5)</x:f>
      </x:c>
      <x:c r="B150" s="68"/>
      <x:c r="C150" s="68"/>
      <x:c r="D150" s="68"/>
      <x:c r="E150" s="72"/>
      <x:c r="F150" s="68"/>
      <x:c r="G150" s="74"/>
      <x:c r="H150" s="76"/>
      <x:c r="I150" s="68"/>
      <x:c r="J150" s="72"/>
      <x:c r="K150" s="74"/>
      <x:c r="L150" s="76"/>
      <x:c r="M150" s="351" t="str">
        <x:f>IF(OR(B150="",G150="",H150=""),"",IF(AND(K150&lt;&gt;"",L150&lt;&gt;""),(K150+L150)-(G150+H150),""))</x:f>
      </x:c>
      <x:c r="N150" s="70" t="str">
        <x:f>IF(B150="","",IF(AND(K150&lt;&gt;"",L150&lt;&gt;""),"Closed","Not Closed"))</x:f>
      </x:c>
      <x:c r="O150" s="68"/>
      <x:c r="P150" s="72"/>
      <x:c r="Q150" s="68"/>
    </x:row>
    <x:row r="151" ht="24" customHeight="1">
      <x:c r="A151" s="67" t="str">
        <x:f>IF(B151="","",ROW()-5)</x:f>
      </x:c>
      <x:c r="B151" s="68"/>
      <x:c r="C151" s="68"/>
      <x:c r="D151" s="68"/>
      <x:c r="E151" s="72"/>
      <x:c r="F151" s="68"/>
      <x:c r="G151" s="74"/>
      <x:c r="H151" s="76"/>
      <x:c r="I151" s="68"/>
      <x:c r="J151" s="72"/>
      <x:c r="K151" s="74"/>
      <x:c r="L151" s="76"/>
      <x:c r="M151" s="351" t="str">
        <x:f>IF(OR(B151="",G151="",H151=""),"",IF(AND(K151&lt;&gt;"",L151&lt;&gt;""),(K151+L151)-(G151+H151),""))</x:f>
      </x:c>
      <x:c r="N151" s="70" t="str">
        <x:f>IF(B151="","",IF(AND(K151&lt;&gt;"",L151&lt;&gt;""),"Closed","Not Closed"))</x:f>
      </x:c>
      <x:c r="O151" s="68"/>
      <x:c r="P151" s="72"/>
      <x:c r="Q151" s="68"/>
    </x:row>
    <x:row r="152" ht="24" customHeight="1">
      <x:c r="A152" s="67" t="str">
        <x:f>IF(B152="","",ROW()-5)</x:f>
      </x:c>
      <x:c r="B152" s="68"/>
      <x:c r="C152" s="68"/>
      <x:c r="D152" s="68"/>
      <x:c r="E152" s="72"/>
      <x:c r="F152" s="68"/>
      <x:c r="G152" s="74"/>
      <x:c r="H152" s="76"/>
      <x:c r="I152" s="68"/>
      <x:c r="J152" s="72"/>
      <x:c r="K152" s="74"/>
      <x:c r="L152" s="76"/>
      <x:c r="M152" s="351" t="str">
        <x:f>IF(OR(B152="",G152="",H152=""),"",IF(AND(K152&lt;&gt;"",L152&lt;&gt;""),(K152+L152)-(G152+H152),""))</x:f>
      </x:c>
      <x:c r="N152" s="70" t="str">
        <x:f>IF(B152="","",IF(AND(K152&lt;&gt;"",L152&lt;&gt;""),"Closed","Not Closed"))</x:f>
      </x:c>
      <x:c r="O152" s="68"/>
      <x:c r="P152" s="72"/>
      <x:c r="Q152" s="68"/>
    </x:row>
    <x:row r="153" ht="24" customHeight="1">
      <x:c r="A153" s="67" t="str">
        <x:f>IF(B153="","",ROW()-5)</x:f>
      </x:c>
      <x:c r="B153" s="68"/>
      <x:c r="C153" s="68"/>
      <x:c r="D153" s="68"/>
      <x:c r="E153" s="72"/>
      <x:c r="F153" s="68"/>
      <x:c r="G153" s="74"/>
      <x:c r="H153" s="76"/>
      <x:c r="I153" s="68"/>
      <x:c r="J153" s="72"/>
      <x:c r="K153" s="74"/>
      <x:c r="L153" s="76"/>
      <x:c r="M153" s="351" t="str">
        <x:f>IF(OR(B153="",G153="",H153=""),"",IF(AND(K153&lt;&gt;"",L153&lt;&gt;""),(K153+L153)-(G153+H153),""))</x:f>
      </x:c>
      <x:c r="N153" s="70" t="str">
        <x:f>IF(B153="","",IF(AND(K153&lt;&gt;"",L153&lt;&gt;""),"Closed","Not Closed"))</x:f>
      </x:c>
      <x:c r="O153" s="68"/>
      <x:c r="P153" s="72"/>
      <x:c r="Q153" s="68"/>
    </x:row>
    <x:row r="154" ht="24" customHeight="1">
      <x:c r="A154" s="67" t="str">
        <x:f>IF(B154="","",ROW()-5)</x:f>
      </x:c>
      <x:c r="B154" s="68"/>
      <x:c r="C154" s="68"/>
      <x:c r="D154" s="68"/>
      <x:c r="E154" s="72"/>
      <x:c r="F154" s="68"/>
      <x:c r="G154" s="74"/>
      <x:c r="H154" s="76"/>
      <x:c r="I154" s="68"/>
      <x:c r="J154" s="72"/>
      <x:c r="K154" s="74"/>
      <x:c r="L154" s="76"/>
      <x:c r="M154" s="351" t="str">
        <x:f>IF(OR(B154="",G154="",H154=""),"",IF(AND(K154&lt;&gt;"",L154&lt;&gt;""),(K154+L154)-(G154+H154),""))</x:f>
      </x:c>
      <x:c r="N154" s="70" t="str">
        <x:f>IF(B154="","",IF(AND(K154&lt;&gt;"",L154&lt;&gt;""),"Closed","Not Closed"))</x:f>
      </x:c>
      <x:c r="O154" s="68"/>
      <x:c r="P154" s="72"/>
      <x:c r="Q154" s="68"/>
    </x:row>
    <x:row r="155" ht="24" customHeight="1">
      <x:c r="A155" s="67" t="str">
        <x:f>IF(B155="","",ROW()-5)</x:f>
      </x:c>
      <x:c r="B155" s="68"/>
      <x:c r="C155" s="68"/>
      <x:c r="D155" s="68"/>
      <x:c r="E155" s="72"/>
      <x:c r="F155" s="68"/>
      <x:c r="G155" s="74"/>
      <x:c r="H155" s="76"/>
      <x:c r="I155" s="68"/>
      <x:c r="J155" s="72"/>
      <x:c r="K155" s="74"/>
      <x:c r="L155" s="76"/>
      <x:c r="M155" s="351" t="str">
        <x:f>IF(OR(B155="",G155="",H155=""),"",IF(AND(K155&lt;&gt;"",L155&lt;&gt;""),(K155+L155)-(G155+H155),""))</x:f>
      </x:c>
      <x:c r="N155" s="70" t="str">
        <x:f>IF(B155="","",IF(AND(K155&lt;&gt;"",L155&lt;&gt;""),"Closed","Not Closed"))</x:f>
      </x:c>
      <x:c r="O155" s="68"/>
      <x:c r="P155" s="72"/>
      <x:c r="Q155" s="68"/>
    </x:row>
    <x:row r="156" ht="24" customHeight="1">
      <x:c r="A156" s="67" t="str">
        <x:f>IF(B156="","",ROW()-5)</x:f>
      </x:c>
      <x:c r="B156" s="68"/>
      <x:c r="C156" s="68"/>
      <x:c r="D156" s="68"/>
      <x:c r="E156" s="72"/>
      <x:c r="F156" s="68"/>
      <x:c r="G156" s="74"/>
      <x:c r="H156" s="76"/>
      <x:c r="I156" s="68"/>
      <x:c r="J156" s="72"/>
      <x:c r="K156" s="74"/>
      <x:c r="L156" s="76"/>
      <x:c r="M156" s="351" t="str">
        <x:f>IF(OR(B156="",G156="",H156=""),"",IF(AND(K156&lt;&gt;"",L156&lt;&gt;""),(K156+L156)-(G156+H156),""))</x:f>
      </x:c>
      <x:c r="N156" s="70" t="str">
        <x:f>IF(B156="","",IF(AND(K156&lt;&gt;"",L156&lt;&gt;""),"Closed","Not Closed"))</x:f>
      </x:c>
      <x:c r="O156" s="68"/>
      <x:c r="P156" s="72"/>
      <x:c r="Q156" s="68"/>
    </x:row>
    <x:row r="157" ht="24" customHeight="1">
      <x:c r="A157" s="67" t="str">
        <x:f>IF(B157="","",ROW()-5)</x:f>
      </x:c>
      <x:c r="B157" s="68"/>
      <x:c r="C157" s="68"/>
      <x:c r="D157" s="68"/>
      <x:c r="E157" s="72"/>
      <x:c r="F157" s="68"/>
      <x:c r="G157" s="74"/>
      <x:c r="H157" s="76"/>
      <x:c r="I157" s="68"/>
      <x:c r="J157" s="72"/>
      <x:c r="K157" s="74"/>
      <x:c r="L157" s="76"/>
      <x:c r="M157" s="351" t="str">
        <x:f>IF(OR(B157="",G157="",H157=""),"",IF(AND(K157&lt;&gt;"",L157&lt;&gt;""),(K157+L157)-(G157+H157),""))</x:f>
      </x:c>
      <x:c r="N157" s="70" t="str">
        <x:f>IF(B157="","",IF(AND(K157&lt;&gt;"",L157&lt;&gt;""),"Closed","Not Closed"))</x:f>
      </x:c>
      <x:c r="O157" s="68"/>
      <x:c r="P157" s="72"/>
      <x:c r="Q157" s="68"/>
    </x:row>
    <x:row r="158" ht="24" customHeight="1">
      <x:c r="A158" s="67" t="str">
        <x:f>IF(B158="","",ROW()-5)</x:f>
      </x:c>
      <x:c r="B158" s="68"/>
      <x:c r="C158" s="68"/>
      <x:c r="D158" s="68"/>
      <x:c r="E158" s="72"/>
      <x:c r="F158" s="68"/>
      <x:c r="G158" s="74"/>
      <x:c r="H158" s="76"/>
      <x:c r="I158" s="68"/>
      <x:c r="J158" s="72"/>
      <x:c r="K158" s="74"/>
      <x:c r="L158" s="76"/>
      <x:c r="M158" s="351" t="str">
        <x:f>IF(OR(B158="",G158="",H158=""),"",IF(AND(K158&lt;&gt;"",L158&lt;&gt;""),(K158+L158)-(G158+H158),""))</x:f>
      </x:c>
      <x:c r="N158" s="70" t="str">
        <x:f>IF(B158="","",IF(AND(K158&lt;&gt;"",L158&lt;&gt;""),"Closed","Not Closed"))</x:f>
      </x:c>
      <x:c r="O158" s="68"/>
      <x:c r="P158" s="72"/>
      <x:c r="Q158" s="68"/>
    </x:row>
    <x:row r="159" ht="24" customHeight="1">
      <x:c r="A159" s="67" t="str">
        <x:f>IF(B159="","",ROW()-5)</x:f>
      </x:c>
      <x:c r="B159" s="68"/>
      <x:c r="C159" s="68"/>
      <x:c r="D159" s="68"/>
      <x:c r="E159" s="72"/>
      <x:c r="F159" s="68"/>
      <x:c r="G159" s="74"/>
      <x:c r="H159" s="76"/>
      <x:c r="I159" s="68"/>
      <x:c r="J159" s="72"/>
      <x:c r="K159" s="74"/>
      <x:c r="L159" s="76"/>
      <x:c r="M159" s="351" t="str">
        <x:f>IF(OR(B159="",G159="",H159=""),"",IF(AND(K159&lt;&gt;"",L159&lt;&gt;""),(K159+L159)-(G159+H159),""))</x:f>
      </x:c>
      <x:c r="N159" s="70" t="str">
        <x:f>IF(B159="","",IF(AND(K159&lt;&gt;"",L159&lt;&gt;""),"Closed","Not Closed"))</x:f>
      </x:c>
      <x:c r="O159" s="68"/>
      <x:c r="P159" s="72"/>
      <x:c r="Q159" s="68"/>
    </x:row>
    <x:row r="160" ht="24" customHeight="1">
      <x:c r="A160" s="67" t="str">
        <x:f>IF(B160="","",ROW()-5)</x:f>
      </x:c>
      <x:c r="B160" s="68"/>
      <x:c r="C160" s="68"/>
      <x:c r="D160" s="68"/>
      <x:c r="E160" s="72"/>
      <x:c r="F160" s="68"/>
      <x:c r="G160" s="74"/>
      <x:c r="H160" s="76"/>
      <x:c r="I160" s="68"/>
      <x:c r="J160" s="72"/>
      <x:c r="K160" s="74"/>
      <x:c r="L160" s="76"/>
      <x:c r="M160" s="351" t="str">
        <x:f>IF(OR(B160="",G160="",H160=""),"",IF(AND(K160&lt;&gt;"",L160&lt;&gt;""),(K160+L160)-(G160+H160),""))</x:f>
      </x:c>
      <x:c r="N160" s="70" t="str">
        <x:f>IF(B160="","",IF(AND(K160&lt;&gt;"",L160&lt;&gt;""),"Closed","Not Closed"))</x:f>
      </x:c>
      <x:c r="O160" s="68"/>
      <x:c r="P160" s="72"/>
      <x:c r="Q160" s="68"/>
    </x:row>
    <x:row r="161" ht="24" customHeight="1">
      <x:c r="A161" s="67" t="str">
        <x:f>IF(B161="","",ROW()-5)</x:f>
      </x:c>
      <x:c r="B161" s="68"/>
      <x:c r="C161" s="68"/>
      <x:c r="D161" s="68"/>
      <x:c r="E161" s="72"/>
      <x:c r="F161" s="68"/>
      <x:c r="G161" s="74"/>
      <x:c r="H161" s="76"/>
      <x:c r="I161" s="68"/>
      <x:c r="J161" s="72"/>
      <x:c r="K161" s="74"/>
      <x:c r="L161" s="76"/>
      <x:c r="M161" s="351" t="str">
        <x:f>IF(OR(B161="",G161="",H161=""),"",IF(AND(K161&lt;&gt;"",L161&lt;&gt;""),(K161+L161)-(G161+H161),""))</x:f>
      </x:c>
      <x:c r="N161" s="70" t="str">
        <x:f>IF(B161="","",IF(AND(K161&lt;&gt;"",L161&lt;&gt;""),"Closed","Not Closed"))</x:f>
      </x:c>
      <x:c r="O161" s="68"/>
      <x:c r="P161" s="72"/>
      <x:c r="Q161" s="68"/>
    </x:row>
    <x:row r="162" ht="24" customHeight="1">
      <x:c r="A162" s="67" t="str">
        <x:f>IF(B162="","",ROW()-5)</x:f>
      </x:c>
      <x:c r="B162" s="68"/>
      <x:c r="C162" s="68"/>
      <x:c r="D162" s="68"/>
      <x:c r="E162" s="72"/>
      <x:c r="F162" s="68"/>
      <x:c r="G162" s="74"/>
      <x:c r="H162" s="76"/>
      <x:c r="I162" s="68"/>
      <x:c r="J162" s="72"/>
      <x:c r="K162" s="74"/>
      <x:c r="L162" s="76"/>
      <x:c r="M162" s="351" t="str">
        <x:f>IF(OR(B162="",G162="",H162=""),"",IF(AND(K162&lt;&gt;"",L162&lt;&gt;""),(K162+L162)-(G162+H162),""))</x:f>
      </x:c>
      <x:c r="N162" s="70" t="str">
        <x:f>IF(B162="","",IF(AND(K162&lt;&gt;"",L162&lt;&gt;""),"Closed","Not Closed"))</x:f>
      </x:c>
      <x:c r="O162" s="68"/>
      <x:c r="P162" s="72"/>
      <x:c r="Q162" s="68"/>
    </x:row>
    <x:row r="163" ht="24" customHeight="1">
      <x:c r="A163" s="67" t="str">
        <x:f>IF(B163="","",ROW()-5)</x:f>
      </x:c>
      <x:c r="B163" s="68"/>
      <x:c r="C163" s="68"/>
      <x:c r="D163" s="68"/>
      <x:c r="E163" s="72"/>
      <x:c r="F163" s="68"/>
      <x:c r="G163" s="74"/>
      <x:c r="H163" s="76"/>
      <x:c r="I163" s="68"/>
      <x:c r="J163" s="72"/>
      <x:c r="K163" s="74"/>
      <x:c r="L163" s="76"/>
      <x:c r="M163" s="351" t="str">
        <x:f>IF(OR(B163="",G163="",H163=""),"",IF(AND(K163&lt;&gt;"",L163&lt;&gt;""),(K163+L163)-(G163+H163),""))</x:f>
      </x:c>
      <x:c r="N163" s="70" t="str">
        <x:f>IF(B163="","",IF(AND(K163&lt;&gt;"",L163&lt;&gt;""),"Closed","Not Closed"))</x:f>
      </x:c>
      <x:c r="O163" s="68"/>
      <x:c r="P163" s="72"/>
      <x:c r="Q163" s="68"/>
    </x:row>
    <x:row r="164" ht="24" customHeight="1">
      <x:c r="A164" s="67" t="str">
        <x:f>IF(B164="","",ROW()-5)</x:f>
      </x:c>
      <x:c r="B164" s="68"/>
      <x:c r="C164" s="68"/>
      <x:c r="D164" s="68"/>
      <x:c r="E164" s="72"/>
      <x:c r="F164" s="68"/>
      <x:c r="G164" s="74"/>
      <x:c r="H164" s="76"/>
      <x:c r="I164" s="68"/>
      <x:c r="J164" s="72"/>
      <x:c r="K164" s="74"/>
      <x:c r="L164" s="76"/>
      <x:c r="M164" s="351" t="str">
        <x:f>IF(OR(B164="",G164="",H164=""),"",IF(AND(K164&lt;&gt;"",L164&lt;&gt;""),(K164+L164)-(G164+H164),""))</x:f>
      </x:c>
      <x:c r="N164" s="70" t="str">
        <x:f>IF(B164="","",IF(AND(K164&lt;&gt;"",L164&lt;&gt;""),"Closed","Not Closed"))</x:f>
      </x:c>
      <x:c r="O164" s="68"/>
      <x:c r="P164" s="72"/>
      <x:c r="Q164" s="68"/>
    </x:row>
    <x:row r="165" ht="24" customHeight="1">
      <x:c r="A165" s="67" t="str">
        <x:f>IF(B165="","",ROW()-5)</x:f>
      </x:c>
      <x:c r="B165" s="68"/>
      <x:c r="C165" s="68"/>
      <x:c r="D165" s="68"/>
      <x:c r="E165" s="72"/>
      <x:c r="F165" s="68"/>
      <x:c r="G165" s="74"/>
      <x:c r="H165" s="76"/>
      <x:c r="I165" s="68"/>
      <x:c r="J165" s="72"/>
      <x:c r="K165" s="74"/>
      <x:c r="L165" s="76"/>
      <x:c r="M165" s="351" t="str">
        <x:f>IF(OR(B165="",G165="",H165=""),"",IF(AND(K165&lt;&gt;"",L165&lt;&gt;""),(K165+L165)-(G165+H165),""))</x:f>
      </x:c>
      <x:c r="N165" s="70" t="str">
        <x:f>IF(B165="","",IF(AND(K165&lt;&gt;"",L165&lt;&gt;""),"Closed","Not Closed"))</x:f>
      </x:c>
      <x:c r="O165" s="68"/>
      <x:c r="P165" s="72"/>
      <x:c r="Q165" s="68"/>
    </x:row>
    <x:row r="166" ht="24" customHeight="1">
      <x:c r="A166" s="67" t="str">
        <x:f>IF(B166="","",ROW()-5)</x:f>
      </x:c>
      <x:c r="B166" s="68"/>
      <x:c r="C166" s="68"/>
      <x:c r="D166" s="68"/>
      <x:c r="E166" s="72"/>
      <x:c r="F166" s="68"/>
      <x:c r="G166" s="74"/>
      <x:c r="H166" s="76"/>
      <x:c r="I166" s="68"/>
      <x:c r="J166" s="72"/>
      <x:c r="K166" s="74"/>
      <x:c r="L166" s="76"/>
      <x:c r="M166" s="351" t="str">
        <x:f>IF(OR(B166="",G166="",H166=""),"",IF(AND(K166&lt;&gt;"",L166&lt;&gt;""),(K166+L166)-(G166+H166),""))</x:f>
      </x:c>
      <x:c r="N166" s="70" t="str">
        <x:f>IF(B166="","",IF(AND(K166&lt;&gt;"",L166&lt;&gt;""),"Closed","Not Closed"))</x:f>
      </x:c>
      <x:c r="O166" s="68"/>
      <x:c r="P166" s="72"/>
      <x:c r="Q166" s="68"/>
    </x:row>
    <x:row r="167" ht="24" customHeight="1">
      <x:c r="A167" s="67" t="str">
        <x:f>IF(B167="","",ROW()-5)</x:f>
      </x:c>
      <x:c r="B167" s="68"/>
      <x:c r="C167" s="68"/>
      <x:c r="D167" s="68"/>
      <x:c r="E167" s="72"/>
      <x:c r="F167" s="68"/>
      <x:c r="G167" s="74"/>
      <x:c r="H167" s="76"/>
      <x:c r="I167" s="68"/>
      <x:c r="J167" s="72"/>
      <x:c r="K167" s="74"/>
      <x:c r="L167" s="76"/>
      <x:c r="M167" s="351" t="str">
        <x:f>IF(OR(B167="",G167="",H167=""),"",IF(AND(K167&lt;&gt;"",L167&lt;&gt;""),(K167+L167)-(G167+H167),""))</x:f>
      </x:c>
      <x:c r="N167" s="70" t="str">
        <x:f>IF(B167="","",IF(AND(K167&lt;&gt;"",L167&lt;&gt;""),"Closed","Not Closed"))</x:f>
      </x:c>
      <x:c r="O167" s="68"/>
      <x:c r="P167" s="72"/>
      <x:c r="Q167" s="68"/>
    </x:row>
    <x:row r="168" ht="24" customHeight="1">
      <x:c r="A168" s="67" t="str">
        <x:f>IF(B168="","",ROW()-5)</x:f>
      </x:c>
      <x:c r="B168" s="68"/>
      <x:c r="C168" s="68"/>
      <x:c r="D168" s="68"/>
      <x:c r="E168" s="72"/>
      <x:c r="F168" s="68"/>
      <x:c r="G168" s="74"/>
      <x:c r="H168" s="76"/>
      <x:c r="I168" s="68"/>
      <x:c r="J168" s="72"/>
      <x:c r="K168" s="74"/>
      <x:c r="L168" s="76"/>
      <x:c r="M168" s="351" t="str">
        <x:f>IF(OR(B168="",G168="",H168=""),"",IF(AND(K168&lt;&gt;"",L168&lt;&gt;""),(K168+L168)-(G168+H168),""))</x:f>
      </x:c>
      <x:c r="N168" s="70" t="str">
        <x:f>IF(B168="","",IF(AND(K168&lt;&gt;"",L168&lt;&gt;""),"Closed","Not Closed"))</x:f>
      </x:c>
      <x:c r="O168" s="68"/>
      <x:c r="P168" s="72"/>
      <x:c r="Q168" s="68"/>
    </x:row>
    <x:row r="169" ht="24" customHeight="1">
      <x:c r="A169" s="67" t="str">
        <x:f>IF(B169="","",ROW()-5)</x:f>
      </x:c>
      <x:c r="B169" s="68"/>
      <x:c r="C169" s="68"/>
      <x:c r="D169" s="68"/>
      <x:c r="E169" s="72"/>
      <x:c r="F169" s="68"/>
      <x:c r="G169" s="74"/>
      <x:c r="H169" s="76"/>
      <x:c r="I169" s="68"/>
      <x:c r="J169" s="72"/>
      <x:c r="K169" s="74"/>
      <x:c r="L169" s="76"/>
      <x:c r="M169" s="351" t="str">
        <x:f>IF(OR(B169="",G169="",H169=""),"",IF(AND(K169&lt;&gt;"",L169&lt;&gt;""),(K169+L169)-(G169+H169),""))</x:f>
      </x:c>
      <x:c r="N169" s="70" t="str">
        <x:f>IF(B169="","",IF(AND(K169&lt;&gt;"",L169&lt;&gt;""),"Closed","Not Closed"))</x:f>
      </x:c>
      <x:c r="O169" s="68"/>
      <x:c r="P169" s="72"/>
      <x:c r="Q169" s="68"/>
    </x:row>
    <x:row r="170" ht="24" customHeight="1">
      <x:c r="A170" s="67" t="str">
        <x:f>IF(B170="","",ROW()-5)</x:f>
      </x:c>
      <x:c r="B170" s="68"/>
      <x:c r="C170" s="68"/>
      <x:c r="D170" s="68"/>
      <x:c r="E170" s="72"/>
      <x:c r="F170" s="68"/>
      <x:c r="G170" s="74"/>
      <x:c r="H170" s="76"/>
      <x:c r="I170" s="68"/>
      <x:c r="J170" s="72"/>
      <x:c r="K170" s="74"/>
      <x:c r="L170" s="76"/>
      <x:c r="M170" s="351" t="str">
        <x:f>IF(OR(B170="",G170="",H170=""),"",IF(AND(K170&lt;&gt;"",L170&lt;&gt;""),(K170+L170)-(G170+H170),""))</x:f>
      </x:c>
      <x:c r="N170" s="70" t="str">
        <x:f>IF(B170="","",IF(AND(K170&lt;&gt;"",L170&lt;&gt;""),"Closed","Not Closed"))</x:f>
      </x:c>
      <x:c r="O170" s="68"/>
      <x:c r="P170" s="72"/>
      <x:c r="Q170" s="68"/>
    </x:row>
    <x:row r="171" ht="24" customHeight="1">
      <x:c r="A171" s="67" t="str">
        <x:f>IF(B171="","",ROW()-5)</x:f>
      </x:c>
      <x:c r="B171" s="68"/>
      <x:c r="C171" s="68"/>
      <x:c r="D171" s="68"/>
      <x:c r="E171" s="72"/>
      <x:c r="F171" s="68"/>
      <x:c r="G171" s="74"/>
      <x:c r="H171" s="76"/>
      <x:c r="I171" s="68"/>
      <x:c r="J171" s="72"/>
      <x:c r="K171" s="74"/>
      <x:c r="L171" s="76"/>
      <x:c r="M171" s="351" t="str">
        <x:f>IF(OR(B171="",G171="",H171=""),"",IF(AND(K171&lt;&gt;"",L171&lt;&gt;""),(K171+L171)-(G171+H171),""))</x:f>
      </x:c>
      <x:c r="N171" s="70" t="str">
        <x:f>IF(B171="","",IF(AND(K171&lt;&gt;"",L171&lt;&gt;""),"Closed","Not Closed"))</x:f>
      </x:c>
      <x:c r="O171" s="68"/>
      <x:c r="P171" s="72"/>
      <x:c r="Q171" s="68"/>
    </x:row>
    <x:row r="172" ht="24" customHeight="1">
      <x:c r="A172" s="67" t="str">
        <x:f>IF(B172="","",ROW()-5)</x:f>
      </x:c>
      <x:c r="B172" s="68"/>
      <x:c r="C172" s="68"/>
      <x:c r="D172" s="68"/>
      <x:c r="E172" s="72"/>
      <x:c r="F172" s="68"/>
      <x:c r="G172" s="74"/>
      <x:c r="H172" s="76"/>
      <x:c r="I172" s="68"/>
      <x:c r="J172" s="72"/>
      <x:c r="K172" s="74"/>
      <x:c r="L172" s="76"/>
      <x:c r="M172" s="351" t="str">
        <x:f>IF(OR(B172="",G172="",H172=""),"",IF(AND(K172&lt;&gt;"",L172&lt;&gt;""),(K172+L172)-(G172+H172),""))</x:f>
      </x:c>
      <x:c r="N172" s="70" t="str">
        <x:f>IF(B172="","",IF(AND(K172&lt;&gt;"",L172&lt;&gt;""),"Closed","Not Closed"))</x:f>
      </x:c>
      <x:c r="O172" s="68"/>
      <x:c r="P172" s="72"/>
      <x:c r="Q172" s="68"/>
    </x:row>
    <x:row r="173" ht="24" customHeight="1">
      <x:c r="A173" s="67" t="str">
        <x:f>IF(B173="","",ROW()-5)</x:f>
      </x:c>
      <x:c r="B173" s="68"/>
      <x:c r="C173" s="68"/>
      <x:c r="D173" s="68"/>
      <x:c r="E173" s="72"/>
      <x:c r="F173" s="68"/>
      <x:c r="G173" s="74"/>
      <x:c r="H173" s="76"/>
      <x:c r="I173" s="68"/>
      <x:c r="J173" s="72"/>
      <x:c r="K173" s="74"/>
      <x:c r="L173" s="76"/>
      <x:c r="M173" s="351" t="str">
        <x:f>IF(OR(B173="",G173="",H173=""),"",IF(AND(K173&lt;&gt;"",L173&lt;&gt;""),(K173+L173)-(G173+H173),""))</x:f>
      </x:c>
      <x:c r="N173" s="70" t="str">
        <x:f>IF(B173="","",IF(AND(K173&lt;&gt;"",L173&lt;&gt;""),"Closed","Not Closed"))</x:f>
      </x:c>
      <x:c r="O173" s="68"/>
      <x:c r="P173" s="72"/>
      <x:c r="Q173" s="68"/>
    </x:row>
    <x:row r="174" ht="24" customHeight="1">
      <x:c r="A174" s="67" t="str">
        <x:f>IF(B174="","",ROW()-5)</x:f>
      </x:c>
      <x:c r="B174" s="68"/>
      <x:c r="C174" s="68"/>
      <x:c r="D174" s="68"/>
      <x:c r="E174" s="72"/>
      <x:c r="F174" s="68"/>
      <x:c r="G174" s="74"/>
      <x:c r="H174" s="76"/>
      <x:c r="I174" s="68"/>
      <x:c r="J174" s="72"/>
      <x:c r="K174" s="74"/>
      <x:c r="L174" s="76"/>
      <x:c r="M174" s="351" t="str">
        <x:f>IF(OR(B174="",G174="",H174=""),"",IF(AND(K174&lt;&gt;"",L174&lt;&gt;""),(K174+L174)-(G174+H174),""))</x:f>
      </x:c>
      <x:c r="N174" s="70" t="str">
        <x:f>IF(B174="","",IF(AND(K174&lt;&gt;"",L174&lt;&gt;""),"Closed","Not Closed"))</x:f>
      </x:c>
      <x:c r="O174" s="68"/>
      <x:c r="P174" s="72"/>
      <x:c r="Q174" s="68"/>
    </x:row>
    <x:row r="175" ht="24" customHeight="1">
      <x:c r="A175" s="67" t="str">
        <x:f>IF(B175="","",ROW()-5)</x:f>
      </x:c>
      <x:c r="B175" s="68"/>
      <x:c r="C175" s="68"/>
      <x:c r="D175" s="68"/>
      <x:c r="E175" s="72"/>
      <x:c r="F175" s="68"/>
      <x:c r="G175" s="74"/>
      <x:c r="H175" s="76"/>
      <x:c r="I175" s="68"/>
      <x:c r="J175" s="72"/>
      <x:c r="K175" s="74"/>
      <x:c r="L175" s="76"/>
      <x:c r="M175" s="351" t="str">
        <x:f>IF(OR(B175="",G175="",H175=""),"",IF(AND(K175&lt;&gt;"",L175&lt;&gt;""),(K175+L175)-(G175+H175),""))</x:f>
      </x:c>
      <x:c r="N175" s="70" t="str">
        <x:f>IF(B175="","",IF(AND(K175&lt;&gt;"",L175&lt;&gt;""),"Closed","Not Closed"))</x:f>
      </x:c>
      <x:c r="O175" s="68"/>
      <x:c r="P175" s="72"/>
      <x:c r="Q175" s="68"/>
    </x:row>
    <x:row r="176" ht="24" customHeight="1">
      <x:c r="A176" s="67" t="str">
        <x:f>IF(B176="","",ROW()-5)</x:f>
      </x:c>
      <x:c r="B176" s="68"/>
      <x:c r="C176" s="68"/>
      <x:c r="D176" s="68"/>
      <x:c r="E176" s="72"/>
      <x:c r="F176" s="68"/>
      <x:c r="G176" s="74"/>
      <x:c r="H176" s="76"/>
      <x:c r="I176" s="68"/>
      <x:c r="J176" s="72"/>
      <x:c r="K176" s="74"/>
      <x:c r="L176" s="76"/>
      <x:c r="M176" s="351" t="str">
        <x:f>IF(OR(B176="",G176="",H176=""),"",IF(AND(K176&lt;&gt;"",L176&lt;&gt;""),(K176+L176)-(G176+H176),""))</x:f>
      </x:c>
      <x:c r="N176" s="70" t="str">
        <x:f>IF(B176="","",IF(AND(K176&lt;&gt;"",L176&lt;&gt;""),"Closed","Not Closed"))</x:f>
      </x:c>
      <x:c r="O176" s="68"/>
      <x:c r="P176" s="72"/>
      <x:c r="Q176" s="68"/>
    </x:row>
    <x:row r="177" ht="24" customHeight="1">
      <x:c r="A177" s="67" t="str">
        <x:f>IF(B177="","",ROW()-5)</x:f>
      </x:c>
      <x:c r="B177" s="68"/>
      <x:c r="C177" s="68"/>
      <x:c r="D177" s="68"/>
      <x:c r="E177" s="72"/>
      <x:c r="F177" s="68"/>
      <x:c r="G177" s="74"/>
      <x:c r="H177" s="76"/>
      <x:c r="I177" s="68"/>
      <x:c r="J177" s="72"/>
      <x:c r="K177" s="74"/>
      <x:c r="L177" s="76"/>
      <x:c r="M177" s="351" t="str">
        <x:f>IF(OR(B177="",G177="",H177=""),"",IF(AND(K177&lt;&gt;"",L177&lt;&gt;""),(K177+L177)-(G177+H177),""))</x:f>
      </x:c>
      <x:c r="N177" s="70" t="str">
        <x:f>IF(B177="","",IF(AND(K177&lt;&gt;"",L177&lt;&gt;""),"Closed","Not Closed"))</x:f>
      </x:c>
      <x:c r="O177" s="68"/>
      <x:c r="P177" s="72"/>
      <x:c r="Q177" s="68"/>
    </x:row>
    <x:row r="178" ht="24" customHeight="1">
      <x:c r="A178" s="67" t="str">
        <x:f>IF(B178="","",ROW()-5)</x:f>
      </x:c>
      <x:c r="B178" s="68"/>
      <x:c r="C178" s="68"/>
      <x:c r="D178" s="68"/>
      <x:c r="E178" s="72"/>
      <x:c r="F178" s="68"/>
      <x:c r="G178" s="74"/>
      <x:c r="H178" s="76"/>
      <x:c r="I178" s="68"/>
      <x:c r="J178" s="72"/>
      <x:c r="K178" s="74"/>
      <x:c r="L178" s="76"/>
      <x:c r="M178" s="351" t="str">
        <x:f>IF(OR(B178="",G178="",H178=""),"",IF(AND(K178&lt;&gt;"",L178&lt;&gt;""),(K178+L178)-(G178+H178),""))</x:f>
      </x:c>
      <x:c r="N178" s="70" t="str">
        <x:f>IF(B178="","",IF(AND(K178&lt;&gt;"",L178&lt;&gt;""),"Closed","Not Closed"))</x:f>
      </x:c>
      <x:c r="O178" s="68"/>
      <x:c r="P178" s="72"/>
      <x:c r="Q178" s="68"/>
    </x:row>
    <x:row r="179" ht="24" customHeight="1">
      <x:c r="A179" s="67" t="str">
        <x:f>IF(B179="","",ROW()-5)</x:f>
      </x:c>
      <x:c r="B179" s="68"/>
      <x:c r="C179" s="68"/>
      <x:c r="D179" s="68"/>
      <x:c r="E179" s="72"/>
      <x:c r="F179" s="68"/>
      <x:c r="G179" s="74"/>
      <x:c r="H179" s="76"/>
      <x:c r="I179" s="68"/>
      <x:c r="J179" s="72"/>
      <x:c r="K179" s="74"/>
      <x:c r="L179" s="76"/>
      <x:c r="M179" s="351" t="str">
        <x:f>IF(OR(B179="",G179="",H179=""),"",IF(AND(K179&lt;&gt;"",L179&lt;&gt;""),(K179+L179)-(G179+H179),""))</x:f>
      </x:c>
      <x:c r="N179" s="70" t="str">
        <x:f>IF(B179="","",IF(AND(K179&lt;&gt;"",L179&lt;&gt;""),"Closed","Not Closed"))</x:f>
      </x:c>
      <x:c r="O179" s="68"/>
      <x:c r="P179" s="72"/>
      <x:c r="Q179" s="68"/>
    </x:row>
    <x:row r="180" ht="24" customHeight="1">
      <x:c r="A180" s="67" t="str">
        <x:f>IF(B180="","",ROW()-5)</x:f>
      </x:c>
      <x:c r="B180" s="68"/>
      <x:c r="C180" s="68"/>
      <x:c r="D180" s="68"/>
      <x:c r="E180" s="72"/>
      <x:c r="F180" s="68"/>
      <x:c r="G180" s="74"/>
      <x:c r="H180" s="76"/>
      <x:c r="I180" s="68"/>
      <x:c r="J180" s="72"/>
      <x:c r="K180" s="74"/>
      <x:c r="L180" s="76"/>
      <x:c r="M180" s="351" t="str">
        <x:f>IF(OR(B180="",G180="",H180=""),"",IF(AND(K180&lt;&gt;"",L180&lt;&gt;""),(K180+L180)-(G180+H180),""))</x:f>
      </x:c>
      <x:c r="N180" s="70" t="str">
        <x:f>IF(B180="","",IF(AND(K180&lt;&gt;"",L180&lt;&gt;""),"Closed","Not Closed"))</x:f>
      </x:c>
      <x:c r="O180" s="68"/>
      <x:c r="P180" s="72"/>
      <x:c r="Q180" s="68"/>
    </x:row>
    <x:row r="181" ht="24" customHeight="1">
      <x:c r="A181" s="67" t="str">
        <x:f>IF(B181="","",ROW()-5)</x:f>
      </x:c>
      <x:c r="B181" s="68"/>
      <x:c r="C181" s="68"/>
      <x:c r="D181" s="68"/>
      <x:c r="E181" s="72"/>
      <x:c r="F181" s="68"/>
      <x:c r="G181" s="74"/>
      <x:c r="H181" s="76"/>
      <x:c r="I181" s="68"/>
      <x:c r="J181" s="72"/>
      <x:c r="K181" s="74"/>
      <x:c r="L181" s="76"/>
      <x:c r="M181" s="351" t="str">
        <x:f>IF(OR(B181="",G181="",H181=""),"",IF(AND(K181&lt;&gt;"",L181&lt;&gt;""),(K181+L181)-(G181+H181),""))</x:f>
      </x:c>
      <x:c r="N181" s="70" t="str">
        <x:f>IF(B181="","",IF(AND(K181&lt;&gt;"",L181&lt;&gt;""),"Closed","Not Closed"))</x:f>
      </x:c>
      <x:c r="O181" s="68"/>
      <x:c r="P181" s="72"/>
      <x:c r="Q181" s="68"/>
    </x:row>
    <x:row r="182" ht="24" customHeight="1">
      <x:c r="A182" s="67" t="str">
        <x:f>IF(B182="","",ROW()-5)</x:f>
      </x:c>
      <x:c r="B182" s="68"/>
      <x:c r="C182" s="68"/>
      <x:c r="D182" s="68"/>
      <x:c r="E182" s="72"/>
      <x:c r="F182" s="68"/>
      <x:c r="G182" s="74"/>
      <x:c r="H182" s="76"/>
      <x:c r="I182" s="68"/>
      <x:c r="J182" s="72"/>
      <x:c r="K182" s="74"/>
      <x:c r="L182" s="76"/>
      <x:c r="M182" s="351" t="str">
        <x:f>IF(OR(B182="",G182="",H182=""),"",IF(AND(K182&lt;&gt;"",L182&lt;&gt;""),(K182+L182)-(G182+H182),""))</x:f>
      </x:c>
      <x:c r="N182" s="70" t="str">
        <x:f>IF(B182="","",IF(AND(K182&lt;&gt;"",L182&lt;&gt;""),"Closed","Not Closed"))</x:f>
      </x:c>
      <x:c r="O182" s="68"/>
      <x:c r="P182" s="72"/>
      <x:c r="Q182" s="68"/>
    </x:row>
    <x:row r="183" ht="24" customHeight="1">
      <x:c r="A183" s="67" t="str">
        <x:f>IF(B183="","",ROW()-5)</x:f>
      </x:c>
      <x:c r="B183" s="68"/>
      <x:c r="C183" s="68"/>
      <x:c r="D183" s="68"/>
      <x:c r="E183" s="72"/>
      <x:c r="F183" s="68"/>
      <x:c r="G183" s="74"/>
      <x:c r="H183" s="76"/>
      <x:c r="I183" s="68"/>
      <x:c r="J183" s="72"/>
      <x:c r="K183" s="74"/>
      <x:c r="L183" s="76"/>
      <x:c r="M183" s="351" t="str">
        <x:f>IF(OR(B183="",G183="",H183=""),"",IF(AND(K183&lt;&gt;"",L183&lt;&gt;""),(K183+L183)-(G183+H183),""))</x:f>
      </x:c>
      <x:c r="N183" s="70" t="str">
        <x:f>IF(B183="","",IF(AND(K183&lt;&gt;"",L183&lt;&gt;""),"Closed","Not Closed"))</x:f>
      </x:c>
      <x:c r="O183" s="68"/>
      <x:c r="P183" s="72"/>
      <x:c r="Q183" s="68"/>
    </x:row>
    <x:row r="184" ht="24" customHeight="1">
      <x:c r="A184" s="67" t="str">
        <x:f>IF(B184="","",ROW()-5)</x:f>
      </x:c>
      <x:c r="B184" s="68"/>
      <x:c r="C184" s="68"/>
      <x:c r="D184" s="68"/>
      <x:c r="E184" s="72"/>
      <x:c r="F184" s="68"/>
      <x:c r="G184" s="74"/>
      <x:c r="H184" s="76"/>
      <x:c r="I184" s="68"/>
      <x:c r="J184" s="72"/>
      <x:c r="K184" s="74"/>
      <x:c r="L184" s="76"/>
      <x:c r="M184" s="351" t="str">
        <x:f>IF(OR(B184="",G184="",H184=""),"",IF(AND(K184&lt;&gt;"",L184&lt;&gt;""),(K184+L184)-(G184+H184),""))</x:f>
      </x:c>
      <x:c r="N184" s="70" t="str">
        <x:f>IF(B184="","",IF(AND(K184&lt;&gt;"",L184&lt;&gt;""),"Closed","Not Closed"))</x:f>
      </x:c>
      <x:c r="O184" s="68"/>
      <x:c r="P184" s="72"/>
      <x:c r="Q184" s="68"/>
    </x:row>
    <x:row r="185" ht="24" customHeight="1">
      <x:c r="A185" s="67" t="str">
        <x:f>IF(B185="","",ROW()-5)</x:f>
      </x:c>
      <x:c r="B185" s="68"/>
      <x:c r="C185" s="68"/>
      <x:c r="D185" s="68"/>
      <x:c r="E185" s="72"/>
      <x:c r="F185" s="68"/>
      <x:c r="G185" s="74"/>
      <x:c r="H185" s="76"/>
      <x:c r="I185" s="68"/>
      <x:c r="J185" s="72"/>
      <x:c r="K185" s="74"/>
      <x:c r="L185" s="76"/>
      <x:c r="M185" s="351" t="str">
        <x:f>IF(OR(B185="",G185="",H185=""),"",IF(AND(K185&lt;&gt;"",L185&lt;&gt;""),(K185+L185)-(G185+H185),""))</x:f>
      </x:c>
      <x:c r="N185" s="70" t="str">
        <x:f>IF(B185="","",IF(AND(K185&lt;&gt;"",L185&lt;&gt;""),"Closed","Not Closed"))</x:f>
      </x:c>
      <x:c r="O185" s="68"/>
      <x:c r="P185" s="72"/>
      <x:c r="Q185" s="68"/>
    </x:row>
    <x:row r="186" ht="24" customHeight="1">
      <x:c r="A186" s="67" t="str">
        <x:f>IF(B186="","",ROW()-5)</x:f>
      </x:c>
      <x:c r="B186" s="68"/>
      <x:c r="C186" s="68"/>
      <x:c r="D186" s="68"/>
      <x:c r="E186" s="72"/>
      <x:c r="F186" s="68"/>
      <x:c r="G186" s="74"/>
      <x:c r="H186" s="76"/>
      <x:c r="I186" s="68"/>
      <x:c r="J186" s="72"/>
      <x:c r="K186" s="74"/>
      <x:c r="L186" s="76"/>
      <x:c r="M186" s="351" t="str">
        <x:f>IF(OR(B186="",G186="",H186=""),"",IF(AND(K186&lt;&gt;"",L186&lt;&gt;""),(K186+L186)-(G186+H186),""))</x:f>
      </x:c>
      <x:c r="N186" s="70" t="str">
        <x:f>IF(B186="","",IF(AND(K186&lt;&gt;"",L186&lt;&gt;""),"Closed","Not Closed"))</x:f>
      </x:c>
      <x:c r="O186" s="68"/>
      <x:c r="P186" s="72"/>
      <x:c r="Q186" s="68"/>
    </x:row>
    <x:row r="187" ht="24" customHeight="1">
      <x:c r="A187" s="67" t="str">
        <x:f>IF(B187="","",ROW()-5)</x:f>
      </x:c>
      <x:c r="B187" s="68"/>
      <x:c r="C187" s="68"/>
      <x:c r="D187" s="68"/>
      <x:c r="E187" s="72"/>
      <x:c r="F187" s="68"/>
      <x:c r="G187" s="74"/>
      <x:c r="H187" s="76"/>
      <x:c r="I187" s="68"/>
      <x:c r="J187" s="72"/>
      <x:c r="K187" s="74"/>
      <x:c r="L187" s="76"/>
      <x:c r="M187" s="351" t="str">
        <x:f>IF(OR(B187="",G187="",H187=""),"",IF(AND(K187&lt;&gt;"",L187&lt;&gt;""),(K187+L187)-(G187+H187),""))</x:f>
      </x:c>
      <x:c r="N187" s="70" t="str">
        <x:f>IF(B187="","",IF(AND(K187&lt;&gt;"",L187&lt;&gt;""),"Closed","Not Closed"))</x:f>
      </x:c>
      <x:c r="O187" s="68"/>
      <x:c r="P187" s="72"/>
      <x:c r="Q187" s="68"/>
    </x:row>
    <x:row r="188" ht="24" customHeight="1">
      <x:c r="A188" s="67" t="str">
        <x:f>IF(B188="","",ROW()-5)</x:f>
      </x:c>
      <x:c r="B188" s="68"/>
      <x:c r="C188" s="68"/>
      <x:c r="D188" s="68"/>
      <x:c r="E188" s="72"/>
      <x:c r="F188" s="68"/>
      <x:c r="G188" s="74"/>
      <x:c r="H188" s="76"/>
      <x:c r="I188" s="68"/>
      <x:c r="J188" s="72"/>
      <x:c r="K188" s="74"/>
      <x:c r="L188" s="76"/>
      <x:c r="M188" s="351" t="str">
        <x:f>IF(OR(B188="",G188="",H188=""),"",IF(AND(K188&lt;&gt;"",L188&lt;&gt;""),(K188+L188)-(G188+H188),""))</x:f>
      </x:c>
      <x:c r="N188" s="70" t="str">
        <x:f>IF(B188="","",IF(AND(K188&lt;&gt;"",L188&lt;&gt;""),"Closed","Not Closed"))</x:f>
      </x:c>
      <x:c r="O188" s="68"/>
      <x:c r="P188" s="72"/>
      <x:c r="Q188" s="68"/>
    </x:row>
    <x:row r="189" ht="24" customHeight="1">
      <x:c r="A189" s="67" t="str">
        <x:f>IF(B189="","",ROW()-5)</x:f>
      </x:c>
      <x:c r="B189" s="68"/>
      <x:c r="C189" s="68"/>
      <x:c r="D189" s="68"/>
      <x:c r="E189" s="72"/>
      <x:c r="F189" s="68"/>
      <x:c r="G189" s="74"/>
      <x:c r="H189" s="76"/>
      <x:c r="I189" s="68"/>
      <x:c r="J189" s="72"/>
      <x:c r="K189" s="74"/>
      <x:c r="L189" s="76"/>
      <x:c r="M189" s="351" t="str">
        <x:f>IF(OR(B189="",G189="",H189=""),"",IF(AND(K189&lt;&gt;"",L189&lt;&gt;""),(K189+L189)-(G189+H189),""))</x:f>
      </x:c>
      <x:c r="N189" s="70" t="str">
        <x:f>IF(B189="","",IF(AND(K189&lt;&gt;"",L189&lt;&gt;""),"Closed","Not Closed"))</x:f>
      </x:c>
      <x:c r="O189" s="68"/>
      <x:c r="P189" s="72"/>
      <x:c r="Q189" s="68"/>
    </x:row>
    <x:row r="190" ht="24" customHeight="1">
      <x:c r="A190" s="67" t="str">
        <x:f>IF(B190="","",ROW()-5)</x:f>
      </x:c>
      <x:c r="B190" s="68"/>
      <x:c r="C190" s="68"/>
      <x:c r="D190" s="68"/>
      <x:c r="E190" s="72"/>
      <x:c r="F190" s="68"/>
      <x:c r="G190" s="74"/>
      <x:c r="H190" s="76"/>
      <x:c r="I190" s="68"/>
      <x:c r="J190" s="72"/>
      <x:c r="K190" s="74"/>
      <x:c r="L190" s="76"/>
      <x:c r="M190" s="351" t="str">
        <x:f>IF(OR(B190="",G190="",H190=""),"",IF(AND(K190&lt;&gt;"",L190&lt;&gt;""),(K190+L190)-(G190+H190),""))</x:f>
      </x:c>
      <x:c r="N190" s="70" t="str">
        <x:f>IF(B190="","",IF(AND(K190&lt;&gt;"",L190&lt;&gt;""),"Closed","Not Closed"))</x:f>
      </x:c>
      <x:c r="O190" s="68"/>
      <x:c r="P190" s="72"/>
      <x:c r="Q190" s="68"/>
    </x:row>
    <x:row r="191" ht="24" customHeight="1">
      <x:c r="A191" s="67" t="str">
        <x:f>IF(B191="","",ROW()-5)</x:f>
      </x:c>
      <x:c r="B191" s="68"/>
      <x:c r="C191" s="68"/>
      <x:c r="D191" s="68"/>
      <x:c r="E191" s="72"/>
      <x:c r="F191" s="68"/>
      <x:c r="G191" s="74"/>
      <x:c r="H191" s="76"/>
      <x:c r="I191" s="68"/>
      <x:c r="J191" s="72"/>
      <x:c r="K191" s="74"/>
      <x:c r="L191" s="76"/>
      <x:c r="M191" s="351" t="str">
        <x:f>IF(OR(B191="",G191="",H191=""),"",IF(AND(K191&lt;&gt;"",L191&lt;&gt;""),(K191+L191)-(G191+H191),""))</x:f>
      </x:c>
      <x:c r="N191" s="70" t="str">
        <x:f>IF(B191="","",IF(AND(K191&lt;&gt;"",L191&lt;&gt;""),"Closed","Not Closed"))</x:f>
      </x:c>
      <x:c r="O191" s="68"/>
      <x:c r="P191" s="72"/>
      <x:c r="Q191" s="68"/>
    </x:row>
    <x:row r="192" ht="24" customHeight="1">
      <x:c r="A192" s="67" t="str">
        <x:f>IF(B192="","",ROW()-5)</x:f>
      </x:c>
      <x:c r="B192" s="68"/>
      <x:c r="C192" s="68"/>
      <x:c r="D192" s="68"/>
      <x:c r="E192" s="72"/>
      <x:c r="F192" s="68"/>
      <x:c r="G192" s="74"/>
      <x:c r="H192" s="76"/>
      <x:c r="I192" s="68"/>
      <x:c r="J192" s="72"/>
      <x:c r="K192" s="74"/>
      <x:c r="L192" s="76"/>
      <x:c r="M192" s="351" t="str">
        <x:f>IF(OR(B192="",G192="",H192=""),"",IF(AND(K192&lt;&gt;"",L192&lt;&gt;""),(K192+L192)-(G192+H192),""))</x:f>
      </x:c>
      <x:c r="N192" s="70" t="str">
        <x:f>IF(B192="","",IF(AND(K192&lt;&gt;"",L192&lt;&gt;""),"Closed","Not Closed"))</x:f>
      </x:c>
      <x:c r="O192" s="68"/>
      <x:c r="P192" s="72"/>
      <x:c r="Q192" s="68"/>
    </x:row>
    <x:row r="193" ht="24" customHeight="1">
      <x:c r="A193" s="67" t="str">
        <x:f>IF(B193="","",ROW()-5)</x:f>
      </x:c>
      <x:c r="B193" s="68"/>
      <x:c r="C193" s="68"/>
      <x:c r="D193" s="68"/>
      <x:c r="E193" s="72"/>
      <x:c r="F193" s="68"/>
      <x:c r="G193" s="74"/>
      <x:c r="H193" s="76"/>
      <x:c r="I193" s="68"/>
      <x:c r="J193" s="72"/>
      <x:c r="K193" s="74"/>
      <x:c r="L193" s="76"/>
      <x:c r="M193" s="351" t="str">
        <x:f>IF(OR(B193="",G193="",H193=""),"",IF(AND(K193&lt;&gt;"",L193&lt;&gt;""),(K193+L193)-(G193+H193),""))</x:f>
      </x:c>
      <x:c r="N193" s="70" t="str">
        <x:f>IF(B193="","",IF(AND(K193&lt;&gt;"",L193&lt;&gt;""),"Closed","Not Closed"))</x:f>
      </x:c>
      <x:c r="O193" s="68"/>
      <x:c r="P193" s="72"/>
      <x:c r="Q193" s="68"/>
    </x:row>
    <x:row r="194" ht="24" customHeight="1">
      <x:c r="A194" s="67" t="str">
        <x:f>IF(B194="","",ROW()-5)</x:f>
      </x:c>
      <x:c r="B194" s="68"/>
      <x:c r="C194" s="68"/>
      <x:c r="D194" s="68"/>
      <x:c r="E194" s="72"/>
      <x:c r="F194" s="68"/>
      <x:c r="G194" s="74"/>
      <x:c r="H194" s="76"/>
      <x:c r="I194" s="68"/>
      <x:c r="J194" s="72"/>
      <x:c r="K194" s="74"/>
      <x:c r="L194" s="76"/>
      <x:c r="M194" s="351" t="str">
        <x:f>IF(OR(B194="",G194="",H194=""),"",IF(AND(K194&lt;&gt;"",L194&lt;&gt;""),(K194+L194)-(G194+H194),""))</x:f>
      </x:c>
      <x:c r="N194" s="70" t="str">
        <x:f>IF(B194="","",IF(AND(K194&lt;&gt;"",L194&lt;&gt;""),"Closed","Not Closed"))</x:f>
      </x:c>
      <x:c r="O194" s="68"/>
      <x:c r="P194" s="72"/>
      <x:c r="Q194" s="68"/>
    </x:row>
    <x:row r="195" ht="24" customHeight="1">
      <x:c r="A195" s="67" t="str">
        <x:f>IF(B195="","",ROW()-5)</x:f>
      </x:c>
      <x:c r="B195" s="68"/>
      <x:c r="C195" s="68"/>
      <x:c r="D195" s="68"/>
      <x:c r="E195" s="72"/>
      <x:c r="F195" s="68"/>
      <x:c r="G195" s="74"/>
      <x:c r="H195" s="76"/>
      <x:c r="I195" s="68"/>
      <x:c r="J195" s="72"/>
      <x:c r="K195" s="74"/>
      <x:c r="L195" s="76"/>
      <x:c r="M195" s="351" t="str">
        <x:f>IF(OR(B195="",G195="",H195=""),"",IF(AND(K195&lt;&gt;"",L195&lt;&gt;""),(K195+L195)-(G195+H195),""))</x:f>
      </x:c>
      <x:c r="N195" s="70" t="str">
        <x:f>IF(B195="","",IF(AND(K195&lt;&gt;"",L195&lt;&gt;""),"Closed","Not Closed"))</x:f>
      </x:c>
      <x:c r="O195" s="68"/>
      <x:c r="P195" s="72"/>
      <x:c r="Q195" s="68"/>
    </x:row>
    <x:row r="196" ht="24" customHeight="1">
      <x:c r="A196" s="67" t="str">
        <x:f>IF(B196="","",ROW()-5)</x:f>
      </x:c>
      <x:c r="B196" s="68"/>
      <x:c r="C196" s="68"/>
      <x:c r="D196" s="68"/>
      <x:c r="E196" s="72"/>
      <x:c r="F196" s="68"/>
      <x:c r="G196" s="74"/>
      <x:c r="H196" s="76"/>
      <x:c r="I196" s="68"/>
      <x:c r="J196" s="72"/>
      <x:c r="K196" s="74"/>
      <x:c r="L196" s="76"/>
      <x:c r="M196" s="351" t="str">
        <x:f>IF(OR(B196="",G196="",H196=""),"",IF(AND(K196&lt;&gt;"",L196&lt;&gt;""),(K196+L196)-(G196+H196),""))</x:f>
      </x:c>
      <x:c r="N196" s="70" t="str">
        <x:f>IF(B196="","",IF(AND(K196&lt;&gt;"",L196&lt;&gt;""),"Closed","Not Closed"))</x:f>
      </x:c>
      <x:c r="O196" s="68"/>
      <x:c r="P196" s="72"/>
      <x:c r="Q196" s="68"/>
    </x:row>
    <x:row r="197" ht="24" customHeight="1">
      <x:c r="A197" s="67" t="str">
        <x:f>IF(B197="","",ROW()-5)</x:f>
      </x:c>
      <x:c r="B197" s="68"/>
      <x:c r="C197" s="68"/>
      <x:c r="D197" s="68"/>
      <x:c r="E197" s="72"/>
      <x:c r="F197" s="68"/>
      <x:c r="G197" s="74"/>
      <x:c r="H197" s="76"/>
      <x:c r="I197" s="68"/>
      <x:c r="J197" s="72"/>
      <x:c r="K197" s="74"/>
      <x:c r="L197" s="76"/>
      <x:c r="M197" s="351" t="str">
        <x:f>IF(OR(B197="",G197="",H197=""),"",IF(AND(K197&lt;&gt;"",L197&lt;&gt;""),(K197+L197)-(G197+H197),""))</x:f>
      </x:c>
      <x:c r="N197" s="70" t="str">
        <x:f>IF(B197="","",IF(AND(K197&lt;&gt;"",L197&lt;&gt;""),"Closed","Not Closed"))</x:f>
      </x:c>
      <x:c r="O197" s="68"/>
      <x:c r="P197" s="72"/>
      <x:c r="Q197" s="68"/>
    </x:row>
    <x:row r="198" ht="24" customHeight="1">
      <x:c r="A198" s="67" t="str">
        <x:f>IF(B198="","",ROW()-5)</x:f>
      </x:c>
      <x:c r="B198" s="68"/>
      <x:c r="C198" s="68"/>
      <x:c r="D198" s="68"/>
      <x:c r="E198" s="72"/>
      <x:c r="F198" s="68"/>
      <x:c r="G198" s="74"/>
      <x:c r="H198" s="76"/>
      <x:c r="I198" s="68"/>
      <x:c r="J198" s="72"/>
      <x:c r="K198" s="74"/>
      <x:c r="L198" s="76"/>
      <x:c r="M198" s="351" t="str">
        <x:f>IF(OR(B198="",G198="",H198=""),"",IF(AND(K198&lt;&gt;"",L198&lt;&gt;""),(K198+L198)-(G198+H198),""))</x:f>
      </x:c>
      <x:c r="N198" s="70" t="str">
        <x:f>IF(B198="","",IF(AND(K198&lt;&gt;"",L198&lt;&gt;""),"Closed","Not Closed"))</x:f>
      </x:c>
      <x:c r="O198" s="68"/>
      <x:c r="P198" s="72"/>
      <x:c r="Q198" s="68"/>
    </x:row>
    <x:row r="199" ht="24" customHeight="1">
      <x:c r="A199" s="67" t="str">
        <x:f>IF(B199="","",ROW()-5)</x:f>
      </x:c>
      <x:c r="B199" s="68"/>
      <x:c r="C199" s="68"/>
      <x:c r="D199" s="68"/>
      <x:c r="E199" s="72"/>
      <x:c r="F199" s="68"/>
      <x:c r="G199" s="74"/>
      <x:c r="H199" s="76"/>
      <x:c r="I199" s="68"/>
      <x:c r="J199" s="72"/>
      <x:c r="K199" s="74"/>
      <x:c r="L199" s="76"/>
      <x:c r="M199" s="351" t="str">
        <x:f>IF(OR(B199="",G199="",H199=""),"",IF(AND(K199&lt;&gt;"",L199&lt;&gt;""),(K199+L199)-(G199+H199),""))</x:f>
      </x:c>
      <x:c r="N199" s="70" t="str">
        <x:f>IF(B199="","",IF(AND(K199&lt;&gt;"",L199&lt;&gt;""),"Closed","Not Closed"))</x:f>
      </x:c>
      <x:c r="O199" s="68"/>
      <x:c r="P199" s="72"/>
      <x:c r="Q199" s="68"/>
    </x:row>
    <x:row r="200" ht="24" customHeight="1">
      <x:c r="A200" s="67" t="str">
        <x:f>IF(B200="","",ROW()-5)</x:f>
      </x:c>
      <x:c r="B200" s="68"/>
      <x:c r="C200" s="68"/>
      <x:c r="D200" s="68"/>
      <x:c r="E200" s="72"/>
      <x:c r="F200" s="68"/>
      <x:c r="G200" s="74"/>
      <x:c r="H200" s="76"/>
      <x:c r="I200" s="68"/>
      <x:c r="J200" s="72"/>
      <x:c r="K200" s="74"/>
      <x:c r="L200" s="76"/>
      <x:c r="M200" s="351" t="str">
        <x:f>IF(OR(B200="",G200="",H200=""),"",IF(AND(K200&lt;&gt;"",L200&lt;&gt;""),(K200+L200)-(G200+H200),""))</x:f>
      </x:c>
      <x:c r="N200" s="70" t="str">
        <x:f>IF(B200="","",IF(AND(K200&lt;&gt;"",L200&lt;&gt;""),"Closed","Not Closed"))</x:f>
      </x:c>
      <x:c r="O200" s="68"/>
      <x:c r="P200" s="72"/>
      <x:c r="Q200" s="68"/>
    </x:row>
    <x:row r="201" ht="24" customHeight="1">
      <x:c r="A201" s="67" t="str">
        <x:f>IF(B201="","",ROW()-5)</x:f>
      </x:c>
      <x:c r="B201" s="68"/>
      <x:c r="C201" s="68"/>
      <x:c r="D201" s="68"/>
      <x:c r="E201" s="72"/>
      <x:c r="F201" s="68"/>
      <x:c r="G201" s="74"/>
      <x:c r="H201" s="76"/>
      <x:c r="I201" s="68"/>
      <x:c r="J201" s="72"/>
      <x:c r="K201" s="74"/>
      <x:c r="L201" s="76"/>
      <x:c r="M201" s="351" t="str">
        <x:f>IF(OR(B201="",G201="",H201=""),"",IF(AND(K201&lt;&gt;"",L201&lt;&gt;""),(K201+L201)-(G201+H201),""))</x:f>
      </x:c>
      <x:c r="N201" s="70" t="str">
        <x:f>IF(B201="","",IF(AND(K201&lt;&gt;"",L201&lt;&gt;""),"Closed","Not Closed"))</x:f>
      </x:c>
      <x:c r="O201" s="68"/>
      <x:c r="P201" s="72"/>
      <x:c r="Q201" s="68"/>
    </x:row>
    <x:row r="202" ht="24" customHeight="1">
      <x:c r="A202" s="67" t="str">
        <x:f>IF(B202="","",ROW()-5)</x:f>
      </x:c>
      <x:c r="B202" s="68"/>
      <x:c r="C202" s="68"/>
      <x:c r="D202" s="68"/>
      <x:c r="E202" s="72"/>
      <x:c r="F202" s="68"/>
      <x:c r="G202" s="74"/>
      <x:c r="H202" s="76"/>
      <x:c r="I202" s="68"/>
      <x:c r="J202" s="72"/>
      <x:c r="K202" s="74"/>
      <x:c r="L202" s="76"/>
      <x:c r="M202" s="351" t="str">
        <x:f>IF(OR(B202="",G202="",H202=""),"",IF(AND(K202&lt;&gt;"",L202&lt;&gt;""),(K202+L202)-(G202+H202),""))</x:f>
      </x:c>
      <x:c r="N202" s="70" t="str">
        <x:f>IF(B202="","",IF(AND(K202&lt;&gt;"",L202&lt;&gt;""),"Closed","Not Closed"))</x:f>
      </x:c>
      <x:c r="O202" s="68"/>
      <x:c r="P202" s="72"/>
      <x:c r="Q202" s="68"/>
    </x:row>
    <x:row r="203" ht="24" customHeight="1">
      <x:c r="A203" s="67" t="str">
        <x:f>IF(B203="","",ROW()-5)</x:f>
      </x:c>
      <x:c r="B203" s="68"/>
      <x:c r="C203" s="68"/>
      <x:c r="D203" s="68"/>
      <x:c r="E203" s="72"/>
      <x:c r="F203" s="68"/>
      <x:c r="G203" s="74"/>
      <x:c r="H203" s="76"/>
      <x:c r="I203" s="68"/>
      <x:c r="J203" s="72"/>
      <x:c r="K203" s="74"/>
      <x:c r="L203" s="76"/>
      <x:c r="M203" s="351" t="str">
        <x:f>IF(OR(B203="",G203="",H203=""),"",IF(AND(K203&lt;&gt;"",L203&lt;&gt;""),(K203+L203)-(G203+H203),""))</x:f>
      </x:c>
      <x:c r="N203" s="70" t="str">
        <x:f>IF(B203="","",IF(AND(K203&lt;&gt;"",L203&lt;&gt;""),"Closed","Not Closed"))</x:f>
      </x:c>
      <x:c r="O203" s="68"/>
      <x:c r="P203" s="72"/>
      <x:c r="Q203" s="68"/>
    </x:row>
    <x:row r="204" ht="24" customHeight="1">
      <x:c r="A204" s="67" t="str">
        <x:f>IF(B204="","",ROW()-5)</x:f>
      </x:c>
      <x:c r="B204" s="68"/>
      <x:c r="C204" s="68"/>
      <x:c r="D204" s="68"/>
      <x:c r="E204" s="72"/>
      <x:c r="F204" s="68"/>
      <x:c r="G204" s="74"/>
      <x:c r="H204" s="76"/>
      <x:c r="I204" s="68"/>
      <x:c r="J204" s="72"/>
      <x:c r="K204" s="74"/>
      <x:c r="L204" s="76"/>
      <x:c r="M204" s="351" t="str">
        <x:f>IF(OR(B204="",G204="",H204=""),"",IF(AND(K204&lt;&gt;"",L204&lt;&gt;""),(K204+L204)-(G204+H204),""))</x:f>
      </x:c>
      <x:c r="N204" s="70" t="str">
        <x:f>IF(B204="","",IF(AND(K204&lt;&gt;"",L204&lt;&gt;""),"Closed","Not Closed"))</x:f>
      </x:c>
      <x:c r="O204" s="68"/>
      <x:c r="P204" s="72"/>
      <x:c r="Q204" s="68"/>
    </x:row>
    <x:row r="205" ht="24" customHeight="1">
      <x:c r="A205" s="67" t="str">
        <x:f>IF(B205="","",ROW()-5)</x:f>
      </x:c>
      <x:c r="B205" s="68"/>
      <x:c r="C205" s="68"/>
      <x:c r="D205" s="68"/>
      <x:c r="E205" s="72"/>
      <x:c r="F205" s="68"/>
      <x:c r="G205" s="74"/>
      <x:c r="H205" s="76"/>
      <x:c r="I205" s="68"/>
      <x:c r="J205" s="72"/>
      <x:c r="K205" s="74"/>
      <x:c r="L205" s="76"/>
      <x:c r="M205" s="351" t="str">
        <x:f>IF(OR(B205="",G205="",H205=""),"",IF(AND(K205&lt;&gt;"",L205&lt;&gt;""),(K205+L205)-(G205+H205),""))</x:f>
      </x:c>
      <x:c r="N205" s="70" t="str">
        <x:f>IF(B205="","",IF(AND(K205&lt;&gt;"",L205&lt;&gt;""),"Closed","Not Closed"))</x:f>
      </x:c>
      <x:c r="O205" s="68"/>
      <x:c r="P205" s="72"/>
      <x:c r="Q205" s="68"/>
    </x:row>
  </x:sheetData>
  <x:mergeCells>
    <x:mergeCell ref="A1:Q1"/>
    <x:mergeCell ref="A2:Q2"/>
    <x:mergeCell ref="B4:F4"/>
    <x:mergeCell ref="G4:I4"/>
    <x:mergeCell ref="J4:L4"/>
    <x:mergeCell ref="M4:Q4"/>
  </x:mergeCells>
  <x:conditionalFormatting sqref="N6:N205">
    <x:cfRule type="containsText" dxfId="0" priority="1" operator="containsText" text="Closed"/>
    <x:cfRule type="containsText" dxfId="1" priority="2" operator="containsText" text="Not Closed"/>
  </x:conditionalFormatting>
  <x:conditionalFormatting sqref="F6:F205">
    <x:cfRule type="containsText" dxfId="2" priority="3" operator="containsText" text="A+"/>
  </x:conditionalFormatting>
  <x:conditionalFormatting sqref="O6:O205">
    <x:cfRule type="containsText" dxfId="3" priority="4" operator="containsText" text="OK"/>
    <x:cfRule type="containsText" dxfId="4" priority="5" operator="containsText" text="Faulty"/>
  </x:conditionalFormatting>
  <x:conditionalFormatting sqref="M6:M205">
    <x:cfRule type="dataBar" priority="6">
      <x:dataBar>
        <x:cfvo type="min"/>
        <x:cfvo type="max"/>
        <x:color rgb="FF167D8D"/>
      </x:dataBar>
      <x:extLst>
        <x:ext xmlns:x14="http://schemas.microsoft.com/office/spreadsheetml/2009/9/main" uri="{B025F937-C7B1-47D3-B67F-A62EFF666E3E}">
          <x14:id>{47A1EA2F-D657-C298-8BB4-62A691494F79}</x14:id>
        </x:ext>
      </x:extLst>
    </x:cfRule>
  </x:conditionalFormatting>
  <x:dataValidations count="8">
    <x:dataValidation type="list" sqref="B6:B205">
      <x:formula1>'Lists &amp; Setup'!$A$5:$A$24</x:formula1>
    </x:dataValidation>
    <x:dataValidation type="list" sqref="C6:C205">
      <x:formula1>'Lists &amp; Setup'!$B$5:$B$6</x:formula1>
    </x:dataValidation>
    <x:dataValidation type="list" sqref="D6:D205">
      <x:formula1>'Lists &amp; Setup'!$C$5:$C$12</x:formula1>
    </x:dataValidation>
    <x:dataValidation type="list" sqref="F6:F205">
      <x:formula1>'Lists &amp; Setup'!$D$5:$D$8</x:formula1>
    </x:dataValidation>
    <x:dataValidation type="list" sqref="I6:I205">
      <x:formula1>'Lists &amp; Setup'!$G$5:$G$24</x:formula1>
    </x:dataValidation>
    <x:dataValidation type="list" sqref="J6:J205">
      <x:formula1>'Lists &amp; Setup'!$H$5:$H$24</x:formula1>
    </x:dataValidation>
    <x:dataValidation type="list" sqref="O6:O205">
      <x:formula1>'Lists &amp; Setup'!$F$5:$F$8</x:formula1>
    </x:dataValidation>
    <x:dataValidation type="list" sqref="Q6:Q205">
      <x:formula1>'Lists &amp; Setup'!$G$5:$G$24</x:formula1>
    </x:dataValidation>
  </x:dataValidations>
  <x:pageMargins left="0.7" right="0.7" top="0.75" bottom="0.75" header="0.3" footer="0.3"/>
  <x:legacyDrawing xmlns:r="http://schemas.openxmlformats.org/officeDocument/2006/relationships" r:id="R84eddc5aabdb4777"/>
  <x:tableParts count="1">
    <x:tablePart xmlns:r="http://schemas.openxmlformats.org/officeDocument/2006/relationships" r:id="R4a7663e33985476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47A1EA2F-D657-C298-8BB4-62A691494F79}">
            <x14:dataBar gradient="1">
              <x14:cfvo type="min"/>
              <x14:cfvo type="max"/>
              <x14:fillColor rgb="FF167D8D"/>
            </x14:dataBar>
          </x14:cfRule>
          <xm:sqref>M6:M205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0" hidden="0" customWidth="1"/>
    <x:col min="7" max="7" width="16" hidden="0" customWidth="1"/>
    <x:col min="8" max="8" width="24" hidden="0" customWidth="1"/>
  </x:cols>
  <x:sheetData>
    <x:row r="1" ht="34" customHeight="1">
      <x:c r="A1" s="3" t="str">
        <x:v>FAULT REGISTER — LISTS &amp; SETUP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Edit the blue cells below to maintain dropdown selections. Keep existing entries inside the highlighted ranges.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9" t="str">
        <x:v>Lane No.</x:v>
      </x:c>
      <x:c r="B4" s="20" t="str">
        <x:v>Fault Type</x:v>
      </x:c>
      <x:c r="C4" s="20" t="str">
        <x:v>Equipment</x:v>
      </x:c>
      <x:c r="D4" s="20" t="str">
        <x:v>Category</x:v>
      </x:c>
      <x:c r="E4" s="20" t="str">
        <x:v>Ticket Status</x:v>
      </x:c>
      <x:c r="F4" s="20" t="str">
        <x:v>Equipment Status</x:v>
      </x:c>
      <x:c r="G4" s="20" t="str">
        <x:v>Personnel</x:v>
      </x:c>
      <x:c r="H4" s="21" t="str">
        <x:v>Standard Action</x:v>
      </x:c>
    </x:row>
    <x:row r="5" ht="22" customHeight="1">
      <x:c r="A5" s="25" t="str">
        <x:v>L01</x:v>
      </x:c>
      <x:c r="B5" s="25" t="str">
        <x:v>HW</x:v>
      </x:c>
      <x:c r="C5" s="25" t="str">
        <x:v>UFD</x:v>
      </x:c>
      <x:c r="D5" s="25" t="str">
        <x:v>A+</x:v>
      </x:c>
      <x:c r="E5" s="25" t="str">
        <x:v>Not Closed</x:v>
      </x:c>
      <x:c r="F5" s="25" t="str">
        <x:v>OK</x:v>
      </x:c>
      <x:c r="G5" s="25" t="str">
        <x:v>Suresh</x:v>
      </x:c>
      <x:c r="H5" s="25" t="str">
        <x:v>N/A</x:v>
      </x:c>
    </x:row>
    <x:row r="6" ht="22" customHeight="1">
      <x:c r="A6" s="26" t="str">
        <x:v>L02</x:v>
      </x:c>
      <x:c r="B6" s="26" t="str">
        <x:v>SW</x:v>
      </x:c>
      <x:c r="C6" s="26" t="str">
        <x:v>TCM</x:v>
      </x:c>
      <x:c r="D6" s="26" t="str">
        <x:v>A</x:v>
      </x:c>
      <x:c r="E6" s="26" t="str">
        <x:v>Closed</x:v>
      </x:c>
      <x:c r="F6" s="26" t="str">
        <x:v>Faulty</x:v>
      </x:c>
      <x:c r="G6" s="26" t="str">
        <x:v>N/A</x:v>
      </x:c>
      <x:c r="H6" s="26" t="str">
        <x:v>Restart Equipment</x:v>
      </x:c>
    </x:row>
    <x:row r="7" ht="22" customHeight="1">
      <x:c r="A7" s="26" t="str">
        <x:v>L03</x:v>
      </x:c>
      <x:c r="B7" s="26"/>
      <x:c r="C7" s="26" t="str">
        <x:v>AVC</x:v>
      </x:c>
      <x:c r="D7" s="26" t="str">
        <x:v>B</x:v>
      </x:c>
      <x:c r="E7" s="26"/>
      <x:c r="F7" s="26" t="str">
        <x:v>Under Observation</x:v>
      </x:c>
      <x:c r="G7" s="26"/>
      <x:c r="H7" s="26" t="str">
        <x:v>Restart TCM</x:v>
      </x:c>
    </x:row>
    <x:row r="8" ht="22" customHeight="1">
      <x:c r="A8" s="26" t="str">
        <x:v>L04</x:v>
      </x:c>
      <x:c r="B8" s="26"/>
      <x:c r="C8" s="26" t="str">
        <x:v>Camera</x:v>
      </x:c>
      <x:c r="D8" s="26" t="str">
        <x:v>C</x:v>
      </x:c>
      <x:c r="E8" s="26"/>
      <x:c r="F8" s="26" t="str">
        <x:v>Out of Service</x:v>
      </x:c>
      <x:c r="G8" s="26"/>
      <x:c r="H8" s="26" t="str">
        <x:v>Cable Reconnected</x:v>
      </x:c>
    </x:row>
    <x:row r="9" ht="22" customHeight="1">
      <x:c r="A9" s="26" t="str">
        <x:v>L05</x:v>
      </x:c>
      <x:c r="B9" s="26"/>
      <x:c r="C9" s="26" t="str">
        <x:v>Printer</x:v>
      </x:c>
      <x:c r="D9" s="26"/>
      <x:c r="E9" s="26"/>
      <x:c r="F9" s="26"/>
      <x:c r="G9" s="26"/>
      <x:c r="H9" s="26" t="str">
        <x:v>Software Restarted</x:v>
      </x:c>
    </x:row>
    <x:row r="10" ht="22" customHeight="1">
      <x:c r="A10" s="26" t="str">
        <x:v>L06</x:v>
      </x:c>
      <x:c r="B10" s="26"/>
      <x:c r="C10" s="26" t="str">
        <x:v>Network</x:v>
      </x:c>
      <x:c r="D10" s="26"/>
      <x:c r="E10" s="26"/>
      <x:c r="F10" s="26"/>
      <x:c r="G10" s="26"/>
      <x:c r="H10" s="26" t="str">
        <x:v>Component Replaced</x:v>
      </x:c>
    </x:row>
    <x:row r="11" ht="22" customHeight="1">
      <x:c r="A11" s="26" t="str">
        <x:v>L07</x:v>
      </x:c>
      <x:c r="B11" s="26"/>
      <x:c r="C11" s="26" t="str">
        <x:v>Server</x:v>
      </x:c>
      <x:c r="D11" s="26"/>
      <x:c r="E11" s="26"/>
      <x:c r="F11" s="26"/>
      <x:c r="G11" s="26"/>
      <x:c r="H11" s="26" t="str">
        <x:v>Escalated to Vendor</x:v>
      </x:c>
    </x:row>
    <x:row r="12" ht="22" customHeight="1">
      <x:c r="A12" s="26" t="str">
        <x:v>L08</x:v>
      </x:c>
      <x:c r="B12" s="26"/>
      <x:c r="C12" s="26" t="str">
        <x:v>Other</x:v>
      </x:c>
      <x:c r="D12" s="26"/>
      <x:c r="E12" s="26"/>
      <x:c r="F12" s="26"/>
      <x:c r="G12" s="26"/>
      <x:c r="H12" s="26"/>
    </x:row>
    <x:row r="13" ht="22" customHeight="1">
      <x:c r="A13" s="26" t="str">
        <x:v>L09</x:v>
      </x:c>
      <x:c r="B13" s="26"/>
      <x:c r="C13" s="26"/>
      <x:c r="D13" s="26"/>
      <x:c r="E13" s="26"/>
      <x:c r="F13" s="26"/>
      <x:c r="G13" s="26"/>
      <x:c r="H13" s="26"/>
    </x:row>
    <x:row r="14" ht="22" customHeight="1">
      <x:c r="A14" s="26" t="str">
        <x:v>L10</x:v>
      </x:c>
      <x:c r="B14" s="26"/>
      <x:c r="C14" s="26"/>
      <x:c r="D14" s="26"/>
      <x:c r="E14" s="26"/>
      <x:c r="F14" s="26"/>
      <x:c r="G14" s="26"/>
      <x:c r="H14" s="26"/>
    </x:row>
    <x:row r="15" ht="22" customHeight="1">
      <x:c r="A15" s="26" t="str">
        <x:v>L11</x:v>
      </x:c>
      <x:c r="B15" s="26"/>
      <x:c r="C15" s="26"/>
      <x:c r="D15" s="26"/>
      <x:c r="E15" s="26"/>
      <x:c r="F15" s="26"/>
      <x:c r="G15" s="26"/>
      <x:c r="H15" s="26"/>
    </x:row>
    <x:row r="16" ht="22" customHeight="1">
      <x:c r="A16" s="26" t="str">
        <x:v>L12</x:v>
      </x:c>
      <x:c r="B16" s="26"/>
      <x:c r="C16" s="26"/>
      <x:c r="D16" s="26"/>
      <x:c r="E16" s="26"/>
      <x:c r="F16" s="26"/>
      <x:c r="G16" s="26"/>
      <x:c r="H16" s="26"/>
    </x:row>
    <x:row r="17" ht="22" customHeight="1">
      <x:c r="A17" s="26" t="str">
        <x:v>L13</x:v>
      </x:c>
      <x:c r="B17" s="26"/>
      <x:c r="C17" s="26"/>
      <x:c r="D17" s="26"/>
      <x:c r="E17" s="26"/>
      <x:c r="F17" s="26"/>
      <x:c r="G17" s="26"/>
      <x:c r="H17" s="26"/>
    </x:row>
    <x:row r="18" ht="22" customHeight="1">
      <x:c r="A18" s="26" t="str">
        <x:v>L14</x:v>
      </x:c>
      <x:c r="B18" s="26"/>
      <x:c r="C18" s="26"/>
      <x:c r="D18" s="26"/>
      <x:c r="E18" s="26"/>
      <x:c r="F18" s="26"/>
      <x:c r="G18" s="26"/>
      <x:c r="H18" s="26"/>
    </x:row>
    <x:row r="19" ht="22" customHeight="1">
      <x:c r="A19" s="26" t="str">
        <x:v>L15</x:v>
      </x:c>
      <x:c r="B19" s="26"/>
      <x:c r="C19" s="26"/>
      <x:c r="D19" s="26"/>
      <x:c r="E19" s="26"/>
      <x:c r="F19" s="26"/>
      <x:c r="G19" s="26"/>
      <x:c r="H19" s="26"/>
    </x:row>
    <x:row r="20" ht="22" customHeight="1">
      <x:c r="A20" s="26" t="str">
        <x:v>L16</x:v>
      </x:c>
      <x:c r="B20" s="26"/>
      <x:c r="C20" s="26"/>
      <x:c r="D20" s="26"/>
      <x:c r="E20" s="26"/>
      <x:c r="F20" s="26"/>
      <x:c r="G20" s="26"/>
      <x:c r="H20" s="26"/>
    </x:row>
    <x:row r="21" ht="22" customHeight="1">
      <x:c r="A21" s="26" t="str">
        <x:v>L17</x:v>
      </x:c>
      <x:c r="B21" s="26"/>
      <x:c r="C21" s="26"/>
      <x:c r="D21" s="26"/>
      <x:c r="E21" s="26"/>
      <x:c r="F21" s="26"/>
      <x:c r="G21" s="26"/>
      <x:c r="H21" s="26"/>
    </x:row>
    <x:row r="22" ht="22" customHeight="1">
      <x:c r="A22" s="26" t="str">
        <x:v>L18</x:v>
      </x:c>
      <x:c r="B22" s="26"/>
      <x:c r="C22" s="26"/>
      <x:c r="D22" s="26"/>
      <x:c r="E22" s="26"/>
      <x:c r="F22" s="26"/>
      <x:c r="G22" s="26"/>
      <x:c r="H22" s="26"/>
    </x:row>
    <x:row r="23" ht="22" customHeight="1">
      <x:c r="A23" s="26" t="str">
        <x:v>L19</x:v>
      </x:c>
      <x:c r="B23" s="26"/>
      <x:c r="C23" s="26"/>
      <x:c r="D23" s="26"/>
      <x:c r="E23" s="26"/>
      <x:c r="F23" s="26"/>
      <x:c r="G23" s="26"/>
      <x:c r="H23" s="26"/>
    </x:row>
    <x:row r="24" ht="22" customHeight="1">
      <x:c r="A24" s="26" t="str">
        <x:v>L20</x:v>
      </x:c>
      <x:c r="B24" s="26"/>
      <x:c r="C24" s="26"/>
      <x:c r="D24" s="26"/>
      <x:c r="E24" s="26"/>
      <x:c r="F24" s="26"/>
      <x:c r="G24" s="26"/>
      <x:c r="H24" s="26"/>
    </x:row>
    <x:row r="27">
      <x:c r="A27" s="27" t="str">
        <x:v>How the automated fields work</x:v>
      </x:c>
      <x:c r="B27" s="27"/>
      <x:c r="C27" s="27"/>
      <x:c r="D27" s="27"/>
      <x:c r="E27" s="27"/>
      <x:c r="F27" s="27"/>
      <x:c r="G27" s="27"/>
      <x:c r="H27" s="27"/>
    </x:row>
    <x:row r="28" ht="24" customHeight="1">
      <x:c r="A28" s="31" t="str">
        <x:v>• SI No. is generated automatically when a lane is entered.</x:v>
      </x:c>
      <x:c r="B28" s="31"/>
      <x:c r="C28" s="31"/>
      <x:c r="D28" s="31"/>
      <x:c r="E28" s="31"/>
      <x:c r="F28" s="31"/>
      <x:c r="G28" s="31"/>
      <x:c r="H28" s="31"/>
    </x:row>
    <x:row r="29" ht="24" customHeight="1">
      <x:c r="A29" s="31" t="str">
        <x:v>• Downtime is calculated after resolution details are entered and displayed as elapsed time: [h]:mm:ss.</x:v>
      </x:c>
      <x:c r="B29" s="31"/>
      <x:c r="C29" s="31"/>
      <x:c r="D29" s="31"/>
      <x:c r="E29" s="31"/>
      <x:c r="F29" s="31"/>
      <x:c r="G29" s="31"/>
      <x:c r="H29" s="31"/>
    </x:row>
    <x:row r="30" ht="24" customHeight="1">
      <x:c r="A30" s="31" t="str">
        <x:v>• Ticket Status becomes Closed when both resolution fields are complete; otherwise it remains Not Closed.</x:v>
      </x:c>
      <x:c r="B30" s="31"/>
      <x:c r="C30" s="31"/>
      <x:c r="D30" s="31"/>
      <x:c r="E30" s="31"/>
      <x:c r="F30" s="31"/>
      <x:c r="G30" s="31"/>
      <x:c r="H30" s="31"/>
    </x:row>
    <x:row r="31" ht="24" customHeight="1">
      <x:c r="A31" s="31" t="str">
        <x:v>• Blue-font cells are intended for user input; grey/green cells are calculated.</x:v>
      </x:c>
      <x:c r="B31" s="31"/>
      <x:c r="C31" s="31"/>
      <x:c r="D31" s="31"/>
      <x:c r="E31" s="31"/>
      <x:c r="F31" s="31"/>
      <x:c r="G31" s="31"/>
      <x:c r="H31" s="31"/>
    </x:row>
  </x:sheetData>
  <x:mergeCells>
    <x:mergeCell ref="A1:H1"/>
    <x:mergeCell ref="A2:H2"/>
    <x:mergeCell ref="A27:H27"/>
    <x:mergeCell ref="A28:H28"/>
    <x:mergeCell ref="A29:H29"/>
    <x:mergeCell ref="A30:H30"/>
    <x:mergeCell ref="A31:H31"/>
  </x:mergeCells>
  <x:pageMargins left="0.7" right="0.7" top="0.75" bottom="0.75" header="0.3" footer="0.3"/>
</x:worksheet>
</file>